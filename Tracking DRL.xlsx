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 DRL" sheetId="1" r:id="rId5"/>
    <sheet state="visible" name="Đã cập nhật DRL" sheetId="2" r:id="rId6"/>
    <sheet state="hidden" name="nosy nosy" sheetId="3" r:id="rId7"/>
    <sheet state="hidden" name="COOKUP Scope of work" sheetId="4" r:id="rId8"/>
    <sheet state="hidden" name="Project Overview" sheetId="5" r:id="rId9"/>
  </sheets>
  <definedNames>
    <definedName hidden="1" localSheetId="0" name="_xlnm._FilterDatabase">'Listing DRL'!$A$1:$H$31</definedName>
  </definedNames>
  <calcPr/>
</workbook>
</file>

<file path=xl/sharedStrings.xml><?xml version="1.0" encoding="utf-8"?>
<sst xmlns="http://schemas.openxmlformats.org/spreadsheetml/2006/main" count="477" uniqueCount="417">
  <si>
    <t>SCOPE OF WORK</t>
  </si>
  <si>
    <t>Tiêu chí</t>
  </si>
  <si>
    <t>What?</t>
  </si>
  <si>
    <t>How?</t>
  </si>
  <si>
    <t>Est. working hours</t>
  </si>
  <si>
    <t>Tên tiêu chí</t>
  </si>
  <si>
    <t>When? Frequency?</t>
  </si>
  <si>
    <t>Reference/training materials</t>
  </si>
  <si>
    <t>Status</t>
  </si>
  <si>
    <t>Note</t>
  </si>
  <si>
    <t>To-do</t>
  </si>
  <si>
    <t>Deadline</t>
  </si>
  <si>
    <t>Dummy</t>
  </si>
  <si>
    <t>Status to-do</t>
  </si>
  <si>
    <t>- Marketing Strategy &amp; Execution</t>
  </si>
  <si>
    <t>Walk through MKT strategy</t>
  </si>
  <si>
    <t>- Understand competitor &amp; market
- Understand key USP and MKT Strategy
- Understand key timeline</t>
  </si>
  <si>
    <t>Điểm đã đạt</t>
  </si>
  <si>
    <t>Mức cộng/trừ điểm tối đa</t>
  </si>
  <si>
    <r>
      <rPr>
        <rFont val="Arial"/>
        <color rgb="FF1155CC"/>
        <u/>
      </rPr>
      <t xml:space="preserve">Marketing strategy
Master file:
</t>
    </r>
    <r>
      <rPr>
        <rFont val="Arial"/>
      </rPr>
      <t xml:space="preserve">- Sheet </t>
    </r>
    <r>
      <rPr>
        <rFont val="Arial"/>
        <b/>
      </rPr>
      <t>Account Access</t>
    </r>
    <r>
      <rPr>
        <rFont val="Arial"/>
      </rPr>
      <t xml:space="preserve">
- Sheet </t>
    </r>
    <r>
      <rPr>
        <rFont val="Arial"/>
        <b/>
      </rPr>
      <t xml:space="preserve">Class Schedule
Competitors
</t>
    </r>
    <r>
      <rPr>
        <rFont val="Arial"/>
      </rPr>
      <t xml:space="preserve">Same cooking vertical
- </t>
    </r>
    <r>
      <rPr>
        <rFont val="Arial"/>
        <color rgb="FF1155CC"/>
        <u/>
      </rPr>
      <t xml:space="preserve">Dublin Cookery School
</t>
    </r>
    <r>
      <rPr>
        <rFont val="Arial"/>
      </rPr>
      <t xml:space="preserve">- </t>
    </r>
    <r>
      <rPr>
        <rFont val="Arial"/>
        <color rgb="FF1155CC"/>
        <u/>
      </rPr>
      <t xml:space="preserve">Janet Dublin - Dumplings
</t>
    </r>
    <r>
      <rPr>
        <rFont val="Arial"/>
      </rPr>
      <t xml:space="preserve">Same weekend activities
- </t>
    </r>
    <r>
      <rPr>
        <rFont val="Arial"/>
        <color rgb="FF1155CC"/>
        <u/>
      </rPr>
      <t xml:space="preserve">Drinkandraw
</t>
    </r>
    <r>
      <rPr>
        <rFont val="Arial"/>
      </rPr>
      <t xml:space="preserve">- </t>
    </r>
    <r>
      <rPr>
        <rFont val="Arial"/>
        <color rgb="FF1155CC"/>
        <u/>
      </rPr>
      <t xml:space="preserve">Check more on Eventbrite IE
</t>
    </r>
    <r>
      <rPr>
        <rFont val="Arial"/>
        <b/>
        <color rgb="FF1155CC"/>
        <u/>
      </rPr>
      <t>Social media MSc.</t>
    </r>
  </si>
  <si>
    <t>Tiến độ</t>
  </si>
  <si>
    <t>Done</t>
  </si>
  <si>
    <t>1</t>
  </si>
  <si>
    <t>- Review persona &amp; competitors (instagram)</t>
  </si>
  <si>
    <t>Total</t>
  </si>
  <si>
    <t>Đánh giá trách nhiệm chấp hành pháp luật và nội quy, quy chế của UEH</t>
  </si>
  <si>
    <t>- Content Map &amp; content production</t>
  </si>
  <si>
    <t>Develop a day-to-day content map based on general proposed content map</t>
  </si>
  <si>
    <t xml:space="preserve">- Generate weekly content map
- Ensure post image/video production follows timeline
- </t>
  </si>
  <si>
    <t>1 hour</t>
  </si>
  <si>
    <t>Cosistently review every 2 days</t>
  </si>
  <si>
    <r>
      <rPr>
        <rFont val="Arial"/>
      </rPr>
      <t>- Check sheet "Content map"
-</t>
    </r>
    <r>
      <rPr>
        <rFont val="Arial"/>
        <u/>
      </rPr>
      <t xml:space="preserve"> </t>
    </r>
    <r>
      <rPr>
        <rFont val="Arial"/>
        <b/>
        <color rgb="FF980000"/>
        <u/>
      </rPr>
      <t>Canva Facebook Cover</t>
    </r>
    <r>
      <rPr>
        <rFont val="Arial"/>
        <b/>
        <color rgb="FF980000"/>
      </rPr>
      <t xml:space="preserve">
</t>
    </r>
    <r>
      <rPr>
        <rFont val="Arial"/>
      </rPr>
      <t xml:space="preserve">- </t>
    </r>
    <r>
      <rPr>
        <rFont val="Arial"/>
        <color rgb="FF1155CC"/>
        <u/>
      </rPr>
      <t>Brand kit</t>
    </r>
  </si>
  <si>
    <t>Sem</t>
  </si>
  <si>
    <t>GPA/Sem</t>
  </si>
  <si>
    <t>STT</t>
  </si>
  <si>
    <r>
      <rPr>
        <rFont val="Arial"/>
        <color theme="1"/>
      </rPr>
      <t xml:space="preserve">- Calendar content (caption/format/when)
- </t>
    </r>
    <r>
      <rPr>
        <rFont val="Arial"/>
        <b/>
        <color theme="1"/>
      </rPr>
      <t>Canva Facebook</t>
    </r>
  </si>
  <si>
    <t>Course</t>
  </si>
  <si>
    <t xml:space="preserve">- 11 Jan
- 10 Jan </t>
  </si>
  <si>
    <t>Credits</t>
  </si>
  <si>
    <t>- Email Marketing</t>
  </si>
  <si>
    <t>Offline class Reminder email</t>
  </si>
  <si>
    <t>- Copy template in draft; modify [ ... ] fields
- Adjust email reminder header
- Mail merge (if possible) OR bcc; say "Hi there"</t>
  </si>
  <si>
    <t>30 min</t>
  </si>
  <si>
    <t>Mondays before class</t>
  </si>
  <si>
    <t>- Canva Email Header</t>
  </si>
  <si>
    <t>Need Ngoc find FREE mail merge solution</t>
  </si>
  <si>
    <t>GPA (4)</t>
  </si>
  <si>
    <t>In progress</t>
  </si>
  <si>
    <t>GPA*Credits</t>
  </si>
  <si>
    <t>After class follow up email</t>
  </si>
  <si>
    <t>- Copy template &gt;&gt;&gt;AFTER CLASS &lt;&lt;&lt; &amp; modify [...] fields
- Adjust email header
- Attach recipe pdf file
- Duplicate feedback form; change FORM name with [Date&amp;Time &amp; Cusine name] &amp; update links in email
- Upload photo folder &amp; update link</t>
  </si>
  <si>
    <t>Tuesdays after class</t>
  </si>
  <si>
    <r>
      <rPr>
        <rFont val="Arial"/>
        <color rgb="FF1155CC"/>
        <u/>
      </rPr>
      <t xml:space="preserve">- Canva Email Header
</t>
    </r>
    <r>
      <rPr>
        <rFont val="Arial"/>
      </rPr>
      <t xml:space="preserve">- </t>
    </r>
    <r>
      <rPr>
        <rFont val="Arial"/>
        <color rgb="FF1155CC"/>
        <u/>
      </rPr>
      <t xml:space="preserve">Recipe file </t>
    </r>
    <r>
      <rPr>
        <rFont val="Arial"/>
      </rPr>
      <t xml:space="preserve">[work with Nhi]
- </t>
    </r>
    <r>
      <rPr>
        <rFont val="Arial"/>
        <color rgb="FF1155CC"/>
        <u/>
      </rPr>
      <t>Feedback</t>
    </r>
    <r>
      <rPr>
        <rFont val="Arial"/>
      </rPr>
      <t xml:space="preserve"> form
</t>
    </r>
    <r>
      <rPr>
        <rFont val="Arial"/>
        <color rgb="FF1155CC"/>
        <u/>
      </rPr>
      <t>- Class photo folder</t>
    </r>
  </si>
  <si>
    <t>No available drive memory &gt;&gt;&gt; finding alternative solutions.</t>
  </si>
  <si>
    <t>Reminder to redeem gift card</t>
  </si>
  <si>
    <t>Promotion CODE redeem</t>
  </si>
  <si>
    <t>Principle of Management</t>
  </si>
  <si>
    <t>Tran</t>
  </si>
  <si>
    <t>- Instagram</t>
  </si>
  <si>
    <t>Update bio link + upcoming classes</t>
  </si>
  <si>
    <t>15 min</t>
  </si>
  <si>
    <t>Every 2 months or [SOLD OUT] if neccessary</t>
  </si>
  <si>
    <t>- Gift card</t>
  </si>
  <si>
    <t xml:space="preserve">Manual send gift card email </t>
  </si>
  <si>
    <t>- Check custom response on Eventbrite
- Go Canva voucher to update [Receiver + CODE]
- Copy template in draft &amp; modify [...] fields
- Replace giftcard photos + add card accordingly as per occasion</t>
  </si>
  <si>
    <t>12 hours post-received booking at latest</t>
  </si>
  <si>
    <t>1.1</t>
  </si>
  <si>
    <t>- Canva GIFT voucher</t>
  </si>
  <si>
    <t>Statistics for Business</t>
  </si>
  <si>
    <t>Ý thức chấp hành quy định pháp luật, chấp hành nội quy, quy chế, quy định tại UEH</t>
  </si>
  <si>
    <t>Principle of Accounting</t>
  </si>
  <si>
    <t>Business Communication</t>
  </si>
  <si>
    <t>- Email Inbox</t>
  </si>
  <si>
    <t>Check inbox &amp; reply</t>
  </si>
  <si>
    <t>Everyday</t>
  </si>
  <si>
    <t>Working with Nhi regarding class &amp; potential more tickets open</t>
  </si>
  <si>
    <t>Principle of Economics</t>
  </si>
  <si>
    <t>- Eventbrite</t>
  </si>
  <si>
    <t>Mathematics for Business</t>
  </si>
  <si>
    <t>Release more slots</t>
  </si>
  <si>
    <t>- Edit capacibiliy if any changes</t>
  </si>
  <si>
    <t>New</t>
  </si>
  <si>
    <t>Principle of Marketing</t>
  </si>
  <si>
    <t>Update header</t>
  </si>
  <si>
    <t>- Optimise visual by update main banner &gt;&gt;&gt;LAST CHANCE</t>
  </si>
  <si>
    <t>10 days before due date</t>
  </si>
  <si>
    <t>Canva Eventbrite header</t>
  </si>
  <si>
    <t>Academic English</t>
  </si>
  <si>
    <t>Business Law</t>
  </si>
  <si>
    <t>- Customer data (CRM)</t>
  </si>
  <si>
    <t>International Business</t>
  </si>
  <si>
    <t>Update note for chefs</t>
  </si>
  <si>
    <t>Weds &amp; final version by Friday before class</t>
  </si>
  <si>
    <t>Attendance management</t>
  </si>
  <si>
    <t>Management Infor System</t>
  </si>
  <si>
    <t xml:space="preserve">Marxist-Lenin Philosophy </t>
  </si>
  <si>
    <t>Physical Health 1 (1 tín)</t>
  </si>
  <si>
    <t>- Website content</t>
  </si>
  <si>
    <t>- Update &amp; produce further content</t>
  </si>
  <si>
    <t>Website content brief
UX - UI</t>
  </si>
  <si>
    <t>- Collaboration with chefs [TBD]</t>
  </si>
  <si>
    <t>Business Analytics</t>
  </si>
  <si>
    <t>Corporate Finance</t>
  </si>
  <si>
    <t>Leadership and Entrepreneurship</t>
  </si>
  <si>
    <t>Physical Health 2 (2 tín)</t>
  </si>
  <si>
    <t>1.2</t>
  </si>
  <si>
    <t>Tham gia học tập Tuần sinh hoạt công dân - Sinh viên</t>
  </si>
  <si>
    <t>Business Research Methods</t>
  </si>
  <si>
    <t>Hoạt động</t>
  </si>
  <si>
    <t>Organizational Behaviour</t>
  </si>
  <si>
    <t>Marxist - Leninist Political Economics</t>
  </si>
  <si>
    <t>Ho Chi Minh Ideology</t>
  </si>
  <si>
    <t>Globalization and Sustainability</t>
  </si>
  <si>
    <t>Mã hoạt động</t>
  </si>
  <si>
    <t>Consumer Behavior</t>
  </si>
  <si>
    <t>Mục</t>
  </si>
  <si>
    <t>Tình trạng</t>
  </si>
  <si>
    <t>Scientific Socialism</t>
  </si>
  <si>
    <t>Điểm</t>
  </si>
  <si>
    <t>1.2.1</t>
  </si>
  <si>
    <t>Đóng tiền</t>
  </si>
  <si>
    <t>Điểm đánh giá kết quả sinh hoạt công dân đợt học chính thức</t>
  </si>
  <si>
    <t>Link</t>
  </si>
  <si>
    <t>Giải mã</t>
  </si>
  <si>
    <t>Hội thảo SOSEM: Stepping Stone to Success</t>
  </si>
  <si>
    <t>2026_HKC_ISB.HBS_00192_00012</t>
  </si>
  <si>
    <t>3.4.2.2</t>
  </si>
  <si>
    <t>Final business Project</t>
  </si>
  <si>
    <t>1.2.2</t>
  </si>
  <si>
    <t>Điểm đánh giá kết quả sinh hoạt công dân đợt học bù</t>
  </si>
  <si>
    <t>Bị huỷ, Chưa đăng ký, Chưa điền form, Chưa nộp minh chứng,...</t>
  </si>
  <si>
    <t>Year</t>
  </si>
  <si>
    <t>Scope of project</t>
  </si>
  <si>
    <t>Hội thảo Navigating The Inner Storms do Đoàn ISB tổ chức</t>
  </si>
  <si>
    <t>Project</t>
  </si>
  <si>
    <t>Role</t>
  </si>
  <si>
    <t>2026_HKC_Youth_00169_00085</t>
  </si>
  <si>
    <t>Benefit</t>
  </si>
  <si>
    <t>Duration</t>
  </si>
  <si>
    <t>1.3</t>
  </si>
  <si>
    <t>Results</t>
  </si>
  <si>
    <t>Thiếu ý thức trong chấp hành nội quy, quy chế, quy định, trong thực hiện văn hóa trường học; vắng sinh hoạt lớp, sinh hoạt chính trị, các buổi học trong tuần lễ sinh hoạt công dân</t>
  </si>
  <si>
    <t>GPA</t>
  </si>
  <si>
    <t>EA records</t>
  </si>
  <si>
    <t>Income</t>
  </si>
  <si>
    <t>IB related</t>
  </si>
  <si>
    <t>Đã đăng ký nhưng chưa thi, Đã nộp minh chứng,...</t>
  </si>
  <si>
    <t>Final</t>
  </si>
  <si>
    <t>TALKSHOW: CRITICAL THINKING AND AI APPLICATION IN CASE COMPETITIONS do Đoàn ISB tổ chức</t>
  </si>
  <si>
    <t>PM - Business Startup</t>
  </si>
  <si>
    <t>Leader</t>
  </si>
  <si>
    <t>2026_HKC_Youth_00172_00088</t>
  </si>
  <si>
    <t>&gt;50%</t>
  </si>
  <si>
    <t>2.7.3.2</t>
  </si>
  <si>
    <t>Graded</t>
  </si>
  <si>
    <t>Pre mid-term</t>
  </si>
  <si>
    <t>BC - Business Observation</t>
  </si>
  <si>
    <t>Team Member</t>
  </si>
  <si>
    <t>1. Tracking tool - BC</t>
  </si>
  <si>
    <t>Đã cập nhật trên hoạt động đã đăng ký, đã điền form tham gia đối với các cuộc thi đội nhóm, Đã pass thi,...</t>
  </si>
  <si>
    <t>Hội thao sinh viên UEH.ISB năm 2026 - UEH.ISB Games 2026 do UEH.ISB Youth Union tổ chức</t>
  </si>
  <si>
    <t>1.3.1</t>
  </si>
  <si>
    <t>Thiếu ý thức trong kê khai, bổ sung đánh giá kết quả rèn luyện</t>
  </si>
  <si>
    <t>2026_HKC_Youth_00136_00073</t>
  </si>
  <si>
    <t>3.4.3.2</t>
  </si>
  <si>
    <t>Contests</t>
  </si>
  <si>
    <t>ERPSIM</t>
  </si>
  <si>
    <t>None</t>
  </si>
  <si>
    <t>Jobs</t>
  </si>
  <si>
    <t>CTV tuyển sinh - Thiết kế</t>
  </si>
  <si>
    <t>X</t>
  </si>
  <si>
    <t>Rejected</t>
  </si>
  <si>
    <t>Marketing Coordinator</t>
  </si>
  <si>
    <t>1,000,000/month</t>
  </si>
  <si>
    <t>10 months</t>
  </si>
  <si>
    <t>COOKUP Task Tracking</t>
  </si>
  <si>
    <t>1.3.2</t>
  </si>
  <si>
    <t>Thiếu ý thức trong chấp hành nội quy, quy chế, quy định, trong thực hiện văn hóa trường học; vắng sinh hoạt lớp, sinh hoạt chính trị, các buổi học trong tuần lễ sinh hoạt công dân có đề xuất từ đơn vị phụ trách</t>
  </si>
  <si>
    <t>Có thực hiện kê khai và cập nhật thông tin nội - ngoại trú sinh viên</t>
  </si>
  <si>
    <t>1.4</t>
  </si>
  <si>
    <t>Vi phạm quy chế, quy định về công tác sinh viên đến mức phải chịu hình thức kỷ luật (có Quyết định của Hội đồng Kỷ luật người học UEH)</t>
  </si>
  <si>
    <r>
      <rPr>
        <rFont val="Be Vietnam"/>
      </rPr>
      <t xml:space="preserve">1. </t>
    </r>
    <r>
      <rPr>
        <rFont val="Be Vietnam"/>
        <color rgb="FF1155CC"/>
        <u/>
      </rPr>
      <t xml:space="preserve">Hướng dẫn và hạn cập nhật DRL
</t>
    </r>
    <r>
      <rPr>
        <rFont val="Be Vietnam"/>
      </rPr>
      <t>2.</t>
    </r>
    <r>
      <rPr>
        <rFont val="Be Vietnam"/>
        <color rgb="FF1155CC"/>
        <u/>
      </rPr>
      <t xml:space="preserve"> Kê khai</t>
    </r>
  </si>
  <si>
    <t>1.4.1</t>
  </si>
  <si>
    <t>Khiển trách</t>
  </si>
  <si>
    <r>
      <rPr>
        <rFont val="Be Vietnam"/>
        <i/>
        <color rgb="FF1155CC"/>
        <sz val="12.0"/>
        <u/>
      </rPr>
      <t>https://drs.ueh.edu.vn/student</t>
    </r>
    <r>
      <rPr>
        <rFont val="Be Vietnam"/>
        <i/>
        <sz val="12.0"/>
      </rPr>
      <t xml:space="preserve"> 
(HKĐ: 22/12/2025 đến 07/6/2026)</t>
    </r>
  </si>
  <si>
    <t>1.4.2</t>
  </si>
  <si>
    <t>Cảnh cáo</t>
  </si>
  <si>
    <t>1.4.3</t>
  </si>
  <si>
    <t>Đình chỉ học tập có thời hạn</t>
  </si>
  <si>
    <t>https://youthquiz.ueh.edu.vn/</t>
  </si>
  <si>
    <t>2</t>
  </si>
  <si>
    <t>Trách nhiệm, tinh thần và thái độ trong học tập tại UEH</t>
  </si>
  <si>
    <t>2.1</t>
  </si>
  <si>
    <t>Ý thức, trách nhiệm trong học tập tại UEH</t>
  </si>
  <si>
    <t>2.2</t>
  </si>
  <si>
    <t>Thái độ, tinh thần vượt khó, phấn đấu vươn lên trong học tập</t>
  </si>
  <si>
    <t>2.2.1</t>
  </si>
  <si>
    <t>Kết quả học tập (xếp loại theo điểm trung bình tích lũy học tập, đánh giá ở một trong các mức sau)</t>
  </si>
  <si>
    <t>2.2.1.1</t>
  </si>
  <si>
    <t>Yếu</t>
  </si>
  <si>
    <t>2.2.1.2</t>
  </si>
  <si>
    <t>Kém</t>
  </si>
  <si>
    <t>2.2.1.3</t>
  </si>
  <si>
    <t>Trung bình</t>
  </si>
  <si>
    <t>2.2.1.4</t>
  </si>
  <si>
    <t>Khá</t>
  </si>
  <si>
    <t>2.2.1.5</t>
  </si>
  <si>
    <t>Giỏi</t>
  </si>
  <si>
    <t>2.2.1.6</t>
  </si>
  <si>
    <t>Xuất sắc</t>
  </si>
  <si>
    <t>2.2.2</t>
  </si>
  <si>
    <t>Thiếu ý thức trong học tập (vi phạm quy định học vụ, khảo thí, hoạt động đánh giá học tập, giảng dạy)</t>
  </si>
  <si>
    <t>2.2.2.1</t>
  </si>
  <si>
    <t>Vi phạm quy định học vụ, hoạt động đánh giá học vụ, khảo thí, hoạt động đánh giá học tập, giảng dạy</t>
  </si>
  <si>
    <t>2.2.2.2</t>
  </si>
  <si>
    <t>Bị xử lý Khiển trách trong thi kết thúc học phần</t>
  </si>
  <si>
    <t>2.2.2.3</t>
  </si>
  <si>
    <t>Bị xử lý Cảnh cáo trong thi kết thúc học phần</t>
  </si>
  <si>
    <t>2.2.2.4</t>
  </si>
  <si>
    <t>Bị xử lý Đình chỉ thi trong thi kết thúc học phần</t>
  </si>
  <si>
    <t>2.3</t>
  </si>
  <si>
    <t>Tham gia trao đổi sinh viên với tư cách là sinh viên UEH</t>
  </si>
  <si>
    <t>2.3.1</t>
  </si>
  <si>
    <t>Trong nước</t>
  </si>
  <si>
    <t>2.3.1.1</t>
  </si>
  <si>
    <t>Ngắn hạn (dưới 4 tuần)</t>
  </si>
  <si>
    <t>2.3.1.2</t>
  </si>
  <si>
    <t>Dài hạn (≥ 4 tuần)</t>
  </si>
  <si>
    <t>2.3.2</t>
  </si>
  <si>
    <t>Quốc tế</t>
  </si>
  <si>
    <t>2.3.2.1</t>
  </si>
  <si>
    <t>2.3.2.2</t>
  </si>
  <si>
    <t>2.4</t>
  </si>
  <si>
    <t>Thành viên đội tuyển UEH dự thi các cuộc thi cấp trên hoặc tương đương về học thuật, khoa học, công nghệ, sáng kiến cải tiến kỹ thuật, hoạt động khởi nghiệp, đổi mới sáng tạo, nghiên cứu khoa học.</t>
  </si>
  <si>
    <t>2.5</t>
  </si>
  <si>
    <t>Hoàn thành học phần Thực tập và tốt nghiệp</t>
  </si>
  <si>
    <t>2.6</t>
  </si>
  <si>
    <t>Thực hiện nghiên cứu khoa học (công trình/đề tài được công nhận nghiên cứu khoa học; bài báo khoa học, bài viết đăng được đăng/xuất bản trong kỷ yếu hội thảo khoa học)</t>
  </si>
  <si>
    <t>2.6.1</t>
  </si>
  <si>
    <t>Tại UEH: - Hoạt động cấp khoa, viện thuộc trường thành viên/phân hiệu; Đoàn - Hội cấp khoa/viện; CLB/Đ/N các cấp tổ chức - Hoạt động cấp Trường thành viên/Viện/Phân hiệu thuộc UEH, bao gồm các hoạt động được Trường thành viên/Viện/Phân hiệu chủ trì tổ chức</t>
  </si>
  <si>
    <t>2.6.2</t>
  </si>
  <si>
    <t>Tại UEH Hoạt động cấp UEH, bao gồm các hoạt động được các đơn vị quản lý, Đoàn Thanh niên - Hội Sinh viên UEH tổ chức</t>
  </si>
  <si>
    <t>2.6.3</t>
  </si>
  <si>
    <t>Ngoài UEH (trong nước và quốc tế), hoạt động cấp trên và tương đương</t>
  </si>
  <si>
    <t>2.7</t>
  </si>
  <si>
    <t>Ý thức tham gia hoạt động ngoại khóa về học thuật, khoa học, công nghệ, sáng kiến cải tiến kỹ thuật, hoạt động khởi nghiệp, đổi mới sáng tạo</t>
  </si>
  <si>
    <t>2.7.1</t>
  </si>
  <si>
    <t>Là thành viên câu lạc bộ, đội, nhóm về về học thuật, khoa học, công nghệ, sáng kiến cải tiến kỹ thuật, hoạt động khởi nghiệp, đổi mới sáng tạo tại UEH</t>
  </si>
  <si>
    <t>2.7.2</t>
  </si>
  <si>
    <t>Tham gia hoạt động tham quan doanh nghiệp</t>
  </si>
  <si>
    <t>2.7.3</t>
  </si>
  <si>
    <t>Thành viên Ban Tổ chức, tham gia hoạt động ngoại khóa về học thuật, khoa học, công nghệ, sáng kiến cải tiến kỹ thuật, hoạt động khởi nghiệp, đổi mới sáng tạo</t>
  </si>
  <si>
    <t>2.7.3.1</t>
  </si>
  <si>
    <t>Tại UEH: - Tham dự hoạt động cấp UEH, bao gồm các hoạt động được các đơn vị quản lý, Đoàn Thanh niên - Hội Sinh viên UEH tổ chức. - Tham dự hoạt động cấp Trường thành viên/Viện/Phân hiệu thuộc UEH, bao gồm các hoạt động được Trường thành viên/Viện/Phân hiệu chủ trì tổ chức.</t>
  </si>
  <si>
    <t>Tại UEH: Tham dự hoạt động cấp khoa, viện thuộc trường thành viên/phân hiệu; Đoàn - Hội cấp khoa/viện; CLB/Đ/N các cấp tổ chức</t>
  </si>
  <si>
    <t>2.7.3.3</t>
  </si>
  <si>
    <t>Tại UEH: - Thành viên Ban Tổ chức hoạt động cấp UEH, bao gồm các hoạt động được các đơn vị quản lý, Đoàn Thanh niên - Hội Sinh viên UEH tổ chức - Thành viên Ban Tổ chức tham dự hoạt động cấp Trường thành viên/Viện/Phân hiệu thuộc UEH, bao gồm các hoạt động được Trường thành viên/Viện/Phân hiệu chủ trì tổ chức</t>
  </si>
  <si>
    <t>2.7.3.4</t>
  </si>
  <si>
    <t>Tại UEH: Thành viên Ban Tổ chức hoạt động cấp khoa, viện thuộc trường thành viên/ phân hiệu; Đoàn - Hội cấp khoa/viện; CLB/Đ/N các cấp tổ chức</t>
  </si>
  <si>
    <t>2.7.3.5</t>
  </si>
  <si>
    <t>Ngoài UEH: Tham gia, tổ chức (vai trò là thành viên chính thức Ban Tổ chức) các cuộc thi về khởi nghiệp, đổi mới sáng tạo</t>
  </si>
  <si>
    <t>2.7.4</t>
  </si>
  <si>
    <t>Thành viên Ban Tổ chức, thí sinh, thành viên đội/nhóm dự thi các cuộc thi về về học thuật, khoa học, công nghệ, sáng kiến cải tiến kỹ thuật, hoạt động khởi nghiệp, đổi mới sáng tạo</t>
  </si>
  <si>
    <t>2.7.4.1</t>
  </si>
  <si>
    <t>Tại UEH: - Thí sinh, thành viên đội/nhóm dự thi hoạt động cấp UEH, bao gồm các hoạt động được các đơn vị quản lý, Đoàn Thanh niên - Hội Sinh viên UEH tổ chức - Thí sinh, thành viên đội/nhóm dự thi hoạt động cấp Trường thành viên/Viện/Phân hiệu thuộc UEH, bao gồm các hoạt động được Trường thành viên/Viện/Phân hiệu chủ trì tổ chức</t>
  </si>
  <si>
    <t>2.7.4.2</t>
  </si>
  <si>
    <t>Tại UEH: Thí sinh, thành viên đội/nhóm dự thi hoạt động cấp khoa, viện thuộc trường thành viên/ phân hiệu; Đoàn - Hội cấp khoa/viện; CLB/Đ/N các cấp tổ chức</t>
  </si>
  <si>
    <t>2.7.4.3</t>
  </si>
  <si>
    <t>Tại UEH: - Thành viên Ban tổ chức hoạt động cấp UEH, bao gồm các hoạt động được các đơn vị quản lý, Đoàn Thanh niên - Hội Sinh viên UEH tổ chức - Thành viên Ban tổ chức hoạt động cấp Trường thành viên/Viện/Phân hiệu thuộc UEH, bao gồm các hoạt động được Trường thành viên/Viện/Phân hiệu chủ trì tổ chức</t>
  </si>
  <si>
    <t>2.7.4.4</t>
  </si>
  <si>
    <t>2.7.4.5</t>
  </si>
  <si>
    <t>Ngoài UEH: Tham gia, tổ chức (vai trò là thành viên chính thức Ban Tổ chức) các cuộc thi về học thuật, khoa học, công nghệ</t>
  </si>
  <si>
    <t>2.8</t>
  </si>
  <si>
    <t>Thiếu ý thức trong tham gia hoạt động ngoại khóa về học thuật, khoa học, công nghệ, sáng kiến cải tiến kỹ thuật, hoạt động khởi nghiệp, đổi mới sáng tạo</t>
  </si>
  <si>
    <t>2.8.1</t>
  </si>
  <si>
    <t>Thiếu ý thức trong tham gia hoạt động có đề nghị xử lý từ Ban Tổ chức chương trình</t>
  </si>
  <si>
    <t>2.8.2</t>
  </si>
  <si>
    <t>Nhờ người tham gia hộ/tham gia hộ hoạt động</t>
  </si>
  <si>
    <t>3</t>
  </si>
  <si>
    <t>Đánh giá về ý thức tham gia các hoạt động chính trị, xã hội, văn hóa, văn nghệ, thể thao, phòng chống tội phạm, các tệ nạn xã hội, các hoạt động thể hiện ý thức trách nhiệm xã hội, hướng đến phát triển bền vững, đại học xanh, bảo vệ môi trường trong và ngoài UEH</t>
  </si>
  <si>
    <t>3.1</t>
  </si>
  <si>
    <t>Có trách nhiệm tham gia hoạt động chính trị, xã hội, văn hóa, văn nghệ, thể thao, phòng chống tội phạm, các tệ nạn xã hội, các hoạt động thể hiện ý thức trách nhiệm xã hội, hướng đến phát triển bền vững, đại học xanh, bảo vệ môi trường trong và ngoài UEH</t>
  </si>
  <si>
    <t>3.2</t>
  </si>
  <si>
    <t>Thành viên đội tuyển UEH dự thi các cuộc thi, hoạt động cấp trên hoặc tương đương về chính trị, xã hội, văn hóa, văn nghệ, thể thao, phòng chống tội phạm, các tệ nạn xã hội, các hoạt động thể hiện ý thức trách nhiệm xã hội, hướng đến phát triển bền vững, đại học xanh, bảo vệ môi trường</t>
  </si>
  <si>
    <t>3.3</t>
  </si>
  <si>
    <t>Tham gia hoạt động thể hiện ý thức trách nhiệm xã hội, hướng đến phát triển bền vững, đại học xanh, bảo vệ môi trường</t>
  </si>
  <si>
    <t>3.3.1</t>
  </si>
  <si>
    <t>Thành viên câu lạc bộ, đội, nhóm về hoạt động hướng đến phát triển bền vững, đại học xanh, bảo vệ môi trường tại UEH</t>
  </si>
  <si>
    <t>3.3.2</t>
  </si>
  <si>
    <t>Tham dự/thành viên Ban Tổ chức các hoạt động thể hiện ý thức trách nhiệm xã hội, hướng đến phát triển bền vững, đại học xanh, bảo vệ môi trường</t>
  </si>
  <si>
    <t>3.3.2.1</t>
  </si>
  <si>
    <t>Tại UEH: - Tham dự hoạt động cấp UEH, bao gồm các hoạt động được các đơn vị quản lý, Đoàn Thanh niên - Hội Sinh viên UEH tổ chức - Tham dự hoạt động cấp Trường thành viên/Viện/Phân hiệu thuộc UEH, bao gồm các hoạt động được Trường thành viên/Viện/Phân hiệu chủ trì tổ chức</t>
  </si>
  <si>
    <t>3.3.2.2</t>
  </si>
  <si>
    <t>3.3.2.3</t>
  </si>
  <si>
    <t>Tại UEH: - Thành viên Ban Tổ chức hoạt động cấp UEH, bao gồm các hoạt động được các đơn vị quản lý, Đoàn Thanh niên - Hội Sinh viên UEH tổ chức - Thành viên Ban Tổ chức hoạt động cấp Trường thành viên/Viện/Phân hiệu thuộc UEH, bao gồm các hoạt động được Trường thành viên/Viện/Phân hiệu chủ trì tổ chức</t>
  </si>
  <si>
    <t>3.3.2.4</t>
  </si>
  <si>
    <t>Tại UEH: Thành viên Ban Tổ chức hoạt động cấp khoa, viện thuộc trường thành viên/phân hiệu; Đoàn - Hội cấp khoa/viện; CLB/Đ/N các cấp tổ chức</t>
  </si>
  <si>
    <t>3.3.2.5</t>
  </si>
  <si>
    <t>Ngoài UEH: Tham gia, tổ chức (vai trò là thành viên chính thức Ban Tổ chức) các hoạt động thể hiện ý thức trách nhiệm xã hội, hướng đến phát triển bền vững, đại học xanh, bảo vệ môi trường</t>
  </si>
  <si>
    <t>3.3.3</t>
  </si>
  <si>
    <t>Thành viên Ban Tổ chức, Thí sinh, thành viên đội/nhóm dự thi các cuộc thi thể hiện ý thức trách nhiệm xã hội, hướng đến phát triển bền vững, đại học xanh, bảo vệ môi trường</t>
  </si>
  <si>
    <t>3.3.3.1</t>
  </si>
  <si>
    <t>3.3.3.2</t>
  </si>
  <si>
    <t>Tại UEH:s Tham dự hoạt động cấp khoa, viện thuộc trường thành viên/phân hiệu; Đoàn - Hội cấp khoa/viện; CLB/Đ/N các cấp tổ chức</t>
  </si>
  <si>
    <t>3.3.3.3</t>
  </si>
  <si>
    <t>3.3.3.4</t>
  </si>
  <si>
    <t>3.3.3.5</t>
  </si>
  <si>
    <t>3.4</t>
  </si>
  <si>
    <t>Tham gia hoạt động chính trị, xã hội, văn hóa, văn nghệ, thể thao, phòng chống tội phạm, các tệ nạn xã hội</t>
  </si>
  <si>
    <t>3.4.1</t>
  </si>
  <si>
    <t>Thành viên câu lạc bộ, đội, nhóm về hoạt động phong trào, tình nguyện UEH</t>
  </si>
  <si>
    <t>3.4.2</t>
  </si>
  <si>
    <t>Tham dự/thành viên Ban Tổ chức các buổi sinh hoạt, hoạt động chính trị - xã hội, hoạt động tình nguyện (công ích, an sinh xã hội,...), văn hóa, văn nghệ, thể thao tại UEH (khán giả, cổ vũ, tuyển thành viên...), phòng chống tội phạm, các tệ nạn xã hội</t>
  </si>
  <si>
    <t>3.4.2.1</t>
  </si>
  <si>
    <t>3.4.2.3</t>
  </si>
  <si>
    <t>3.4.2.4</t>
  </si>
  <si>
    <t>3.4.2.5</t>
  </si>
  <si>
    <t>Ngoài UEH: Tham gia, tổ chức (vai trò là thành viên chính thức Ban Tổ chức) các hoạt động chính trị, xã hội, văn hóa, văn nghệ, thể thao, phòng chống tội phạm, các tệ nạn xã hội</t>
  </si>
  <si>
    <t>3.4.3</t>
  </si>
  <si>
    <t>- Thành viên Ban Tổ chức, thí sinh, thành viên đội/nhóm dự thi các cuộc thi về chính trị tư tưởng, văn hóa, văn nghệ, thể thao; tham gia hoạt động công ích, tình nguyện, công tác xã hội</t>
  </si>
  <si>
    <t>3.4.3.1</t>
  </si>
  <si>
    <t>3.4.3.3</t>
  </si>
  <si>
    <t>3.4.3.4</t>
  </si>
  <si>
    <t>3.4.3.5</t>
  </si>
  <si>
    <t>3.5</t>
  </si>
  <si>
    <t>Trách nhiệm tham gia các hoạt động công ích, tình nguyện, công tác xã hội</t>
  </si>
  <si>
    <t>3.5.1</t>
  </si>
  <si>
    <t>Tích cực tham gia hoạt động tại địa phương, nơi cư trú do doanh nghiệp, tổ chức phi chính phủ tổ chức</t>
  </si>
  <si>
    <t>3.5.2</t>
  </si>
  <si>
    <t>Tham gia hoạt động tình nguyện vì cộng đồng do chính quyền địa phương, tổ chức chính trị - xã hội, cơ sở giáo dục tổ chức (hiến máu tình nguyện, hoạt động công ích, tình nguyện, công tác xã hội, tiếp sức mùa thi, tư vấn tuyển sinh, ...)</t>
  </si>
  <si>
    <t>3.6</t>
  </si>
  <si>
    <t>Chiến sĩ tham gia chiến dịch tình nguyện sinh viên UEH</t>
  </si>
  <si>
    <t>3.7</t>
  </si>
  <si>
    <t>Sinh viên khuyết tật, tàn tật, mồ côi, hoàn cảnh đặc biệt khó khăn và các trường hợp đặc biệt khác theo quy định</t>
  </si>
  <si>
    <t>3.8</t>
  </si>
  <si>
    <t>Thiếu ý thức tham gia các hoạt động chính trị, xã hội, văn hóa, văn nghệ, thể thao, phòng chống tội phạm, các tệ nạn xã hội, các hoạt động thể hiện ý thức trách nhiệm xã hội, hướng đến phát triển bền vững, đại học xanh, bảo vệ môi trường trong và ngoài UEH</t>
  </si>
  <si>
    <t>3.8.1</t>
  </si>
  <si>
    <t>3.8.2</t>
  </si>
  <si>
    <t>4</t>
  </si>
  <si>
    <t>Đánh giá về ý thức công dân trong quan hệ cộng đồng</t>
  </si>
  <si>
    <t>4.1</t>
  </si>
  <si>
    <t>Sinh hoạt tại cộng đồng</t>
  </si>
  <si>
    <t>4.2</t>
  </si>
  <si>
    <t>4.3</t>
  </si>
  <si>
    <t>Nhận giấy khen, bằng khen của chính quyền, tổ chức chính trị - xã hội, cơ sở giáo dục trong tham gia các hoạt động xã hội</t>
  </si>
  <si>
    <t>4.3.1</t>
  </si>
  <si>
    <t>Cấp xã/phường, đặc khu (tương đương)</t>
  </si>
  <si>
    <t>4.3.2</t>
  </si>
  <si>
    <t>Cấp tỉnh/thành phố trở lên (tương đương)</t>
  </si>
  <si>
    <t>5</t>
  </si>
  <si>
    <t>Đánh giá về ý thức và kết quả tham gia công tác cán bộ lớp, các đoàn thể, tổ chức khác trong UEH hoặc sinh viên đạt được thành tích đặc biệt trong học tập, rèn luyện ngoài UEH</t>
  </si>
  <si>
    <t>5.1</t>
  </si>
  <si>
    <t>Tinh thần trách nhiệm, thái độ làm việc, uy tín cá nhân, năng lực tổ chức và hiệu quả thực hiện công việc của sinh viên</t>
  </si>
  <si>
    <t>5.2</t>
  </si>
  <si>
    <t>Được kết nạp vào Đảng Cộng sản Việt Nam (chỉ tính trong học kỳ được kết nạp)</t>
  </si>
  <si>
    <t>5.3</t>
  </si>
  <si>
    <t>Hoàn thành nhiệm vụ quản lý lớp, các tổ chức Đảng, Đoàn Thanh niên, Hội Sinh viên và các tổ chức khác trong UEH (các chức vụ phải có quyết định hoặc văn bản của UEH công nhận)</t>
  </si>
  <si>
    <t>5.3.1</t>
  </si>
  <si>
    <t>Ban cán sự lớp sinh viên</t>
  </si>
  <si>
    <t>5.3.2</t>
  </si>
  <si>
    <t>Ban Chấp hành Chi đoàn</t>
  </si>
  <si>
    <t>5.3.3</t>
  </si>
  <si>
    <t>Ban Chấp hành Chi hội</t>
  </si>
  <si>
    <t>5.3.4</t>
  </si>
  <si>
    <t>Ban Điều hành, Ban Chủ nhiệm Câu lạc bộ, đội, nhóm</t>
  </si>
  <si>
    <t>5.3.5</t>
  </si>
  <si>
    <t>Ban Chấp hành Đoàn khoa, viện</t>
  </si>
  <si>
    <t>5.3.6</t>
  </si>
  <si>
    <t>Ban Chấp hành Liên Chi hội sinh viên khoa, viện, KTX</t>
  </si>
  <si>
    <t>5.3.7</t>
  </si>
  <si>
    <t>Ban Chấp hành Đoàn UEH, trường thành viên, phân hiệu</t>
  </si>
  <si>
    <t>5.3.8</t>
  </si>
  <si>
    <t>Ban Chấp hành Hội Sinh viên UEH, trường thành viên, phân hiệu</t>
  </si>
  <si>
    <t>5.3.9</t>
  </si>
  <si>
    <t>Cấp ủy Chi bộ khối sinh viên</t>
  </si>
  <si>
    <t>5.4</t>
  </si>
  <si>
    <t>Hỗ trợ và tham gia tích cực vào hoạt động chung tại UEH</t>
  </si>
  <si>
    <t>5.4.1</t>
  </si>
  <si>
    <t>- Hỗ trợ và tham gia tích cực vào hoạt động chung của lớp hoặc tham gia hỗ trợ quản lý lớp (hỗ trợ lớp học phần hoặc chức vụ nội bộ khác do lớp đề cử thêm và không có quyết định hoặc văn bản của UEH công nhận) - Được cố vấn học tập đánh giá/ghi nhận trong biên bản đánh giá rèn luyện sinh viên cấp lớp. - Sinh viên chỉ được ghi nhận khi: + Không là Ban cán sự lớp sinh viên (đã ghi nhận tại tiêu chí 5.3.1.); + Sinh viên được đề nghị phải được tập thể lớp đồng thuận và cố vấn học tập ghi nhận trong biên bản đánh giá kết quả rèn luyện cấp lớp trên hệ thống trực tuyến theo quy định UEH.</t>
  </si>
  <si>
    <t>5.4.2</t>
  </si>
  <si>
    <t>Hỗ trợ và tham gia tích cực vào hoạt động chung của khoa, viện</t>
  </si>
  <si>
    <t>5.4.3</t>
  </si>
  <si>
    <t>Hỗ trợ và tham gia tích cực vào hoạt động chung của trường thành viên, phân hiệu, đơn vị quản lý và toàn UEH</t>
  </si>
  <si>
    <t>5.4.3.1</t>
  </si>
  <si>
    <t>Có thời gian tham gia hỗ trợ đơn vị dưới 03 tháng (Tham gia hỗ trợ ngắn hạn, TNV/CTV tham gia hỗ trợ sự kiện có điều động của trường thành viên, phân hiệu, đơn vị quản lý và toàn UEH)</t>
  </si>
  <si>
    <t>5.4.3.2</t>
  </si>
  <si>
    <t>Có thời gian hỗ trợ đơn vị từ 3 tháng trở lên, theo đề xuất của đơn vị.</t>
  </si>
  <si>
    <t>5.5</t>
  </si>
  <si>
    <t>Đạt giải thưởng, danh hiệu, thành tích cao trong học tập, rèn luyện (Chỉ tính điểm mức khen thưởng cao nhất cho 01 nội dung đạt giải thưởng, danh hiệu, thành tích)</t>
  </si>
  <si>
    <t>5.5.1</t>
  </si>
  <si>
    <t>Nhận giấy khen của Bí thư Đảng ủy/Giám đốc UEH</t>
  </si>
  <si>
    <t>5.5.2</t>
  </si>
  <si>
    <t>Nhận giấy khen của Bí thư Đảng bộ bộ phận/Giám đốc phân hiệu UEH</t>
  </si>
  <si>
    <t>5.5.3</t>
  </si>
  <si>
    <t>Thành tích xuất sắc từ cấp tỉnh/thành phố trở lên với tư cách là sinh viên UEH</t>
  </si>
  <si>
    <t>5.5.3.1</t>
  </si>
  <si>
    <t>- Đạt giải thưởng, danh hiệu các cuộc thi, hội thi, hoạt động, từ cấp tỉnh, thành phố trực thuộc trung ương trở lên - Đạt danh hiệu Sinh viên 5 Tốt từ cấp tỉnh, thành phố trực thuộc trung ương trở lên - Đạt giải thưởng nghiên cứu khoa học từ cấp tỉnh, thành phố trực thuộc trung ương trở lên - Hoặc tương đương</t>
  </si>
  <si>
    <t>5.5.3.2</t>
  </si>
  <si>
    <t>Nhận bằng khen từ cấp tỉnh, thành phố trực thuộc trung ương trở lên</t>
  </si>
  <si>
    <t>5.5.4</t>
  </si>
  <si>
    <t>Đạt giải, danh hiệu hoặc thành tích tại các cuộc thi, hoạt động trong UEH</t>
  </si>
  <si>
    <t>5.5.4.1</t>
  </si>
  <si>
    <t>Hoạt động cấp khoa, viện thuộc trường thành viên/phân hiệu; Đoàn - Hội cấp khoa/viện; CLB/Đ/N các cấp tổ chức</t>
  </si>
  <si>
    <t>5.5.4.2</t>
  </si>
  <si>
    <t>- Hoạt động cấp UEH, bao gồm các hoạt động được các đơn vị quản lý, Đoàn Thanh niên - Hội Sinh viên UEH tổ chức - Hoạt động cấp Trường thành viên/Viện/Phân hiệu thuộc UEH, bao gồm các hoạt động được Trường thành viên/Viện/Phân hiệu chủ trì tổ chức</t>
  </si>
  <si>
    <t>5.5.4.3</t>
  </si>
  <si>
    <t>Đạt giải thưởng nghiên cứu khoa học cấp trường thành viên, phân hiệu hoặc UEH</t>
  </si>
  <si>
    <t>5.5.4.4</t>
  </si>
  <si>
    <t>Đạt danh hiệu công dân Xanh UEH</t>
  </si>
  <si>
    <t>5.5.5</t>
  </si>
  <si>
    <t>Đạt danh hiệu Sinh viên 5 tốt</t>
  </si>
  <si>
    <t>5.5.5.1</t>
  </si>
  <si>
    <t>Đạt danh hiệu Sinh viên 5 tốt cấp khoa/viện/ký túc xá</t>
  </si>
  <si>
    <t>5.5.5.2</t>
  </si>
  <si>
    <t>Đạt danh hiệu Sinh viên 5 tốt cấp UEH</t>
  </si>
  <si>
    <t>5.5.6</t>
  </si>
  <si>
    <t>Nhận giấy khen của Bí thư Đoàn Thanh niên, Chủ tịch Hội Sinh viên (ngoài giấy khen Danh hiệu Sinh viên 5 tốt)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</si>
</sst>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0.0"/>
    <numFmt numFmtId="165" formatCode="0.0"/>
    <numFmt numFmtId="166" formatCode="#,##0\ [$đ-42A]"/>
    <numFmt numFmtId="167" formatCode="d.m"/>
  </numFmts>
  <fonts count="36">
    <font>
      <sz val="10.0"/>
      <color rgb="FF000000"/>
      <name val="Arial"/>
      <scheme val="minor"/>
    </font>
    <font>
      <b/>
      <color rgb="FFFFFFFF"/>
      <name val="Arial"/>
    </font>
    <font>
      <b/>
      <sz val="10.0"/>
      <color rgb="FFFFFFFF"/>
      <name val="Be Vietnam"/>
    </font>
    <font>
      <color theme="1"/>
      <name val="Arial"/>
    </font>
    <font>
      <sz val="10.0"/>
      <color theme="1"/>
      <name val="Be Vietnam"/>
    </font>
    <font>
      <b/>
      <sz val="18.0"/>
      <color rgb="FF000000"/>
      <name val="Be Vietnam"/>
    </font>
    <font>
      <b/>
      <sz val="10.0"/>
      <color rgb="FF000000"/>
      <name val="Be Vietnam"/>
    </font>
    <font>
      <b/>
      <sz val="20.0"/>
      <color rgb="FFB7B7B7"/>
      <name val="Be Vietnam"/>
    </font>
    <font>
      <u/>
      <color rgb="FF0000FF"/>
      <name val="Arial"/>
    </font>
    <font>
      <b/>
      <color rgb="FFFFFFFF"/>
      <name val="Be Vietnam"/>
    </font>
    <font>
      <b/>
      <sz val="10.0"/>
      <color theme="1"/>
      <name val="Be Vietnam"/>
    </font>
    <font>
      <u/>
      <color rgb="FF1155CC"/>
      <name val="Arial"/>
    </font>
    <font>
      <b/>
      <u/>
      <color rgb="FFFFFFFF"/>
      <name val="Be Vietnam"/>
    </font>
    <font/>
    <font>
      <color theme="1"/>
      <name val="Be Vietnam"/>
    </font>
    <font>
      <u/>
      <color rgb="FF0000FF"/>
      <name val="Arial"/>
    </font>
    <font>
      <b/>
      <color rgb="FF1C4587"/>
      <name val="Be Vietnam"/>
    </font>
    <font>
      <b/>
      <sz val="10.0"/>
      <color rgb="FF1C4587"/>
      <name val="Be Vietnam"/>
    </font>
    <font>
      <u/>
      <color rgb="FF1155CC"/>
      <name val="Arial"/>
    </font>
    <font>
      <color rgb="FFFF0000"/>
      <name val="Be Vietnam"/>
    </font>
    <font>
      <color rgb="FF000000"/>
      <name val="Be Vietnam"/>
    </font>
    <font>
      <b/>
      <color theme="1"/>
      <name val="Be Vietnam"/>
    </font>
    <font>
      <color rgb="FF999999"/>
      <name val="Be Vietnam"/>
    </font>
    <font>
      <color theme="1"/>
      <name val="Arial"/>
      <scheme val="minor"/>
    </font>
    <font>
      <b/>
      <color rgb="FFFFFFFF"/>
      <name val="Arial"/>
      <scheme val="minor"/>
    </font>
    <font>
      <b/>
      <sz val="30.0"/>
      <color theme="1"/>
      <name val="Be Vietnam"/>
    </font>
    <font>
      <u/>
      <color rgb="FF0000FF"/>
    </font>
    <font>
      <color theme="1"/>
      <name val="Inter"/>
    </font>
    <font>
      <u/>
      <color rgb="FF0000FF"/>
      <name val="Be Vietnam"/>
    </font>
    <font>
      <i/>
      <u/>
      <sz val="12.0"/>
      <color rgb="FF0000FF"/>
      <name val="Be Vietnam"/>
    </font>
    <font>
      <i/>
      <sz val="12.0"/>
      <color theme="1"/>
      <name val="Be Vietnam"/>
    </font>
    <font>
      <i/>
      <u/>
      <sz val="12.0"/>
      <color rgb="FF0000FF"/>
      <name val="Be Vietnam"/>
    </font>
    <font>
      <b/>
      <i/>
      <color rgb="FF741B47"/>
      <name val="Be Vietnam"/>
    </font>
    <font>
      <b/>
      <i/>
      <sz val="10.0"/>
      <color rgb="FF741B47"/>
      <name val="Be Vietnam"/>
    </font>
    <font>
      <sz val="10.0"/>
      <color rgb="FF495057"/>
      <name val="Inter"/>
    </font>
    <font>
      <b/>
      <i/>
      <color rgb="FF741B47"/>
      <name val="Arial"/>
      <scheme val="minor"/>
    </font>
  </fonts>
  <fills count="17">
    <fill>
      <patternFill patternType="none"/>
    </fill>
    <fill>
      <patternFill patternType="lightGray"/>
    </fill>
    <fill>
      <patternFill patternType="solid">
        <fgColor rgb="FF980000"/>
        <bgColor rgb="FF980000"/>
      </patternFill>
    </fill>
    <fill>
      <patternFill patternType="solid">
        <fgColor rgb="FF741B47"/>
        <bgColor rgb="FF741B47"/>
      </patternFill>
    </fill>
    <fill>
      <patternFill patternType="solid">
        <fgColor rgb="FFF3F3F3"/>
        <bgColor rgb="FFF3F3F3"/>
      </patternFill>
    </fill>
    <fill>
      <patternFill patternType="solid">
        <fgColor rgb="FFA64D79"/>
        <bgColor rgb="FFA64D79"/>
      </patternFill>
    </fill>
    <fill>
      <patternFill patternType="solid">
        <fgColor rgb="FFEAD1DC"/>
        <bgColor rgb="FFEAD1DC"/>
      </patternFill>
    </fill>
    <fill>
      <patternFill patternType="solid">
        <fgColor rgb="FF434343"/>
        <bgColor rgb="FF434343"/>
      </patternFill>
    </fill>
    <fill>
      <patternFill patternType="solid">
        <fgColor rgb="FFC27BA0"/>
        <bgColor rgb="FFC27BA0"/>
      </patternFill>
    </fill>
    <fill>
      <patternFill patternType="solid">
        <fgColor rgb="FF999999"/>
        <bgColor rgb="FF999999"/>
      </patternFill>
    </fill>
    <fill>
      <patternFill patternType="solid">
        <fgColor rgb="FFFFFFFF"/>
        <bgColor rgb="FFFFFFFF"/>
      </patternFill>
    </fill>
    <fill>
      <patternFill patternType="solid">
        <fgColor rgb="FFCFF4FC"/>
        <bgColor rgb="FFCFF4FC"/>
      </patternFill>
    </fill>
    <fill>
      <patternFill patternType="solid">
        <fgColor rgb="FFFCEEF3"/>
        <bgColor rgb="FFFCEEF3"/>
      </patternFill>
    </fill>
    <fill>
      <patternFill patternType="solid">
        <fgColor rgb="FFEFEFEF"/>
        <bgColor rgb="FFEFEFEF"/>
      </patternFill>
    </fill>
    <fill>
      <patternFill patternType="solid">
        <fgColor rgb="FF20124D"/>
        <bgColor rgb="FF20124D"/>
      </patternFill>
    </fill>
    <fill>
      <patternFill patternType="solid">
        <fgColor rgb="FFD9D2E9"/>
        <bgColor rgb="FFD9D2E9"/>
      </patternFill>
    </fill>
    <fill>
      <patternFill patternType="solid">
        <fgColor rgb="FFF8F9FA"/>
        <bgColor rgb="FFF8F9FA"/>
      </patternFill>
    </fill>
  </fills>
  <borders count="39">
    <border/>
    <border>
      <left style="thin">
        <color rgb="FF000000"/>
      </left>
      <right style="thin">
        <color rgb="FF000000"/>
      </right>
      <top style="thin">
        <color rgb="FF000000"/>
      </top>
      <bottom style="thin">
        <color rgb="FF000000"/>
      </bottom>
    </border>
    <border>
      <left style="medium">
        <color rgb="FF000000"/>
      </left>
      <right style="thin">
        <color rgb="FFFFFFFF"/>
      </right>
      <top style="medium">
        <color rgb="FF000000"/>
      </top>
      <bottom style="thin">
        <color rgb="FFFFFFFF"/>
      </bottom>
    </border>
    <border>
      <left style="thin">
        <color rgb="FFFFFFFF"/>
      </left>
      <right style="thin">
        <color rgb="FFFFFFFF"/>
      </right>
      <top style="medium">
        <color rgb="FF000000"/>
      </top>
      <bottom style="thin">
        <color rgb="FFFFFFFF"/>
      </bottom>
    </border>
    <border>
      <left style="thin">
        <color rgb="FFFFFFFF"/>
      </left>
      <right style="medium">
        <color rgb="FF000000"/>
      </right>
      <top style="medium">
        <color rgb="FF000000"/>
      </top>
      <bottom style="thin">
        <color rgb="FFFFFFFF"/>
      </bottom>
    </border>
    <border>
      <right style="medium">
        <color rgb="FF000000"/>
      </right>
      <top style="medium">
        <color rgb="FF000000"/>
      </top>
      <bottom style="thin">
        <color rgb="FFFFFFFF"/>
      </bottom>
    </border>
    <border>
      <left style="medium">
        <color rgb="FF000000"/>
      </left>
      <right style="thin">
        <color rgb="FF000000"/>
      </right>
    </border>
    <border>
      <left style="thin">
        <color rgb="FF000000"/>
      </left>
      <right style="thin">
        <color rgb="FF000000"/>
      </right>
    </border>
    <border>
      <left style="thin">
        <color rgb="FF000000"/>
      </left>
      <right style="thin">
        <color rgb="FF000000"/>
      </right>
      <top style="thin">
        <color rgb="FF000000"/>
      </top>
    </border>
    <border>
      <right style="medium">
        <color rgb="FF000000"/>
      </right>
    </border>
    <border>
      <left style="medium">
        <color rgb="FF000000"/>
      </left>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dotted">
        <color rgb="FFFFFFFF"/>
      </left>
      <right style="dotted">
        <color rgb="FFFFFFFF"/>
      </right>
    </border>
    <border>
      <left style="medium">
        <color rgb="FF000000"/>
      </left>
      <right style="thin">
        <color rgb="FF000000"/>
      </right>
      <top style="thin">
        <color rgb="FF000000"/>
      </top>
      <bottom style="medium">
        <color rgb="FF000000"/>
      </bottom>
    </border>
    <border>
      <left style="dotted">
        <color rgb="FFFFFFFF"/>
      </left>
    </border>
    <border>
      <left style="thin">
        <color rgb="FF000000"/>
      </left>
      <right style="thin">
        <color rgb="FF000000"/>
      </right>
      <top style="thin">
        <color rgb="FF000000"/>
      </top>
      <bottom style="medium">
        <color rgb="FF000000"/>
      </bottom>
    </border>
    <border>
      <right style="dotted">
        <color rgb="FFFFFFFF"/>
      </right>
    </border>
    <border>
      <left style="thin">
        <color rgb="FF000000"/>
      </left>
      <right style="medium">
        <color rgb="FF000000"/>
      </right>
      <top style="thin">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rder>
    <border>
      <right style="thin">
        <color rgb="FF000000"/>
      </right>
      <top style="thin">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bottom style="thin">
        <color rgb="FF000000"/>
      </bottom>
    </border>
    <border>
      <right style="thin">
        <color rgb="FF000000"/>
      </right>
      <bottom style="thin">
        <color rgb="FF000000"/>
      </bottom>
    </border>
    <border>
      <right style="medium">
        <color rgb="FF000000"/>
      </right>
      <bottom style="medium">
        <color rgb="FF000000"/>
      </bottom>
    </border>
    <border>
      <left style="medium">
        <color rgb="FF000000"/>
      </left>
      <right style="thin">
        <color rgb="FF000000"/>
      </right>
      <top style="medium">
        <color rgb="FF000000"/>
      </top>
    </border>
    <border>
      <right style="thin">
        <color rgb="FF000000"/>
      </right>
      <top style="medium">
        <color rgb="FF000000"/>
      </top>
    </border>
    <border>
      <right style="medium">
        <color rgb="FF000000"/>
      </right>
      <top style="medium">
        <color rgb="FF000000"/>
      </top>
    </border>
    <border>
      <right style="thin">
        <color rgb="FF000000"/>
      </right>
    </border>
    <border>
      <right style="thin">
        <color rgb="FF000000"/>
      </right>
      <bottom style="medium">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s>
  <cellStyleXfs count="1">
    <xf borderId="0" fillId="0" fontId="0" numFmtId="0" applyAlignment="1" applyFont="1"/>
  </cellStyleXfs>
  <cellXfs count="167">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2" fillId="3" fontId="2" numFmtId="49" xfId="0" applyAlignment="1" applyBorder="1" applyFill="1" applyFont="1" applyNumberFormat="1">
      <alignment horizontal="center" readingOrder="0" shrinkToFit="0" vertical="center" wrapText="1"/>
    </xf>
    <xf borderId="3" fillId="3" fontId="2" numFmtId="0" xfId="0" applyAlignment="1" applyBorder="1" applyFill="1" applyFont="1">
      <alignment horizontal="center" readingOrder="0" shrinkToFit="0" vertical="center" wrapText="1"/>
    </xf>
    <xf borderId="3" fillId="3" fontId="2" numFmtId="164" xfId="0" applyAlignment="1" applyBorder="1" applyFill="1" applyFont="1" applyNumberFormat="1">
      <alignment horizontal="center" readingOrder="0" shrinkToFit="0" vertical="center" wrapText="1"/>
    </xf>
    <xf borderId="1" fillId="0" fontId="3" numFmtId="0" xfId="0" applyAlignment="1" applyBorder="1" applyFont="1">
      <alignment shrinkToFit="0" wrapText="1"/>
    </xf>
    <xf borderId="1" fillId="0" fontId="3" numFmtId="0" xfId="0" applyAlignment="1" applyBorder="1" applyFont="1">
      <alignment vertical="bottom"/>
    </xf>
    <xf borderId="4" fillId="3" fontId="2" numFmtId="164" xfId="0" applyAlignment="1" applyBorder="1" applyFill="1" applyFont="1" applyNumberFormat="1">
      <alignment horizontal="center" readingOrder="0" shrinkToFit="0" vertical="center" wrapText="1"/>
    </xf>
    <xf borderId="0" fillId="0" fontId="4" numFmtId="0" xfId="0" applyAlignment="1" applyFont="1">
      <alignment horizontal="left" readingOrder="0" shrinkToFit="0" vertical="bottom" wrapText="1"/>
    </xf>
    <xf borderId="0" fillId="4" fontId="5" numFmtId="2" xfId="0" applyAlignment="1" applyFill="1" applyFont="1" applyNumberFormat="1">
      <alignment horizontal="center" readingOrder="0" shrinkToFit="0" vertical="center" wrapText="1"/>
    </xf>
    <xf borderId="2" fillId="3" fontId="2" numFmtId="49" xfId="0" applyAlignment="1" applyBorder="1" applyFill="1" applyFont="1" applyNumberFormat="1">
      <alignment horizontal="center" readingOrder="0" shrinkToFit="0" vertical="bottom" wrapText="1"/>
    </xf>
    <xf borderId="0" fillId="4" fontId="6" numFmtId="1" xfId="0" applyAlignment="1" applyFill="1" applyFont="1" applyNumberFormat="1">
      <alignment horizontal="center" readingOrder="0" vertical="center"/>
    </xf>
    <xf borderId="3" fillId="3" fontId="2" numFmtId="164" xfId="0" applyAlignment="1" applyBorder="1" applyFill="1" applyFont="1" applyNumberFormat="1">
      <alignment horizontal="center" readingOrder="0" shrinkToFit="0" vertical="bottom" wrapText="1"/>
    </xf>
    <xf borderId="0" fillId="4" fontId="7" numFmtId="2" xfId="0" applyAlignment="1" applyFill="1" applyFont="1" applyNumberFormat="1">
      <alignment horizontal="center" readingOrder="0" vertical="center"/>
    </xf>
    <xf borderId="1" fillId="0" fontId="8" numFmtId="0" xfId="0" applyAlignment="1" applyBorder="1" applyFont="1">
      <alignment shrinkToFit="0" vertical="bottom" wrapText="1"/>
    </xf>
    <xf borderId="5" fillId="3" fontId="2" numFmtId="164" xfId="0" applyAlignment="1" applyBorder="1" applyFill="1" applyFont="1" applyNumberFormat="1">
      <alignment horizontal="center" readingOrder="0" shrinkToFit="0" vertical="bottom" wrapText="1"/>
    </xf>
    <xf borderId="0" fillId="4" fontId="6" numFmtId="165" xfId="0" applyAlignment="1" applyFill="1" applyFont="1" applyNumberFormat="1">
      <alignment horizontal="center" readingOrder="0" vertical="center"/>
    </xf>
    <xf borderId="0" fillId="5" fontId="9" numFmtId="0" xfId="0" applyAlignment="1" applyFill="1" applyFont="1">
      <alignment horizontal="center" readingOrder="0" vertical="center"/>
    </xf>
    <xf borderId="1" fillId="0" fontId="3" numFmtId="0" xfId="0" applyAlignment="1" applyBorder="1" applyFont="1">
      <alignment shrinkToFit="0" vertical="bottom" wrapText="1"/>
    </xf>
    <xf borderId="6" fillId="6" fontId="10" numFmtId="49" xfId="0" applyAlignment="1" applyBorder="1" applyFill="1" applyFont="1" applyNumberFormat="1">
      <alignment horizontal="left" readingOrder="0" shrinkToFit="0" wrapText="1"/>
    </xf>
    <xf borderId="7" fillId="6" fontId="10" numFmtId="0" xfId="0" applyAlignment="1" applyBorder="1" applyFill="1" applyFont="1">
      <alignment horizontal="left" readingOrder="0" shrinkToFit="0" wrapText="1"/>
    </xf>
    <xf borderId="0" fillId="0" fontId="3" numFmtId="0" xfId="0" applyFont="1"/>
    <xf borderId="0" fillId="7" fontId="9" numFmtId="0" xfId="0" applyAlignment="1" applyFill="1" applyFont="1">
      <alignment horizontal="center" readingOrder="0" vertical="center"/>
    </xf>
    <xf borderId="0" fillId="8" fontId="9" numFmtId="0" xfId="0" applyAlignment="1" applyFill="1" applyFont="1">
      <alignment horizontal="center" readingOrder="0" vertical="center"/>
    </xf>
    <xf borderId="7" fillId="6" fontId="10" numFmtId="164" xfId="0" applyAlignment="1" applyBorder="1" applyFill="1" applyFont="1" applyNumberFormat="1">
      <alignment horizontal="center" readingOrder="0" shrinkToFit="0" wrapText="1"/>
    </xf>
    <xf borderId="8" fillId="0" fontId="3" numFmtId="0" xfId="0" applyAlignment="1" applyBorder="1" applyFont="1">
      <alignment shrinkToFit="0" wrapText="1"/>
    </xf>
    <xf borderId="9" fillId="6" fontId="10" numFmtId="164" xfId="0" applyAlignment="1" applyBorder="1" applyFill="1" applyFont="1" applyNumberFormat="1">
      <alignment horizontal="center" readingOrder="0" shrinkToFit="0" wrapText="1"/>
    </xf>
    <xf borderId="1" fillId="0" fontId="11" numFmtId="0" xfId="0" applyAlignment="1" applyBorder="1" applyFont="1">
      <alignment shrinkToFit="0" wrapText="1"/>
    </xf>
    <xf borderId="0" fillId="0" fontId="4" numFmtId="0" xfId="0" applyAlignment="1" applyFont="1">
      <alignment horizontal="left" readingOrder="0" shrinkToFit="0" wrapText="1"/>
    </xf>
    <xf borderId="0" fillId="8" fontId="12" numFmtId="0" xfId="0" applyAlignment="1" applyFill="1" applyFont="1">
      <alignment horizontal="center" readingOrder="0" vertical="center"/>
    </xf>
    <xf borderId="7" fillId="0" fontId="13" numFmtId="0" xfId="0" applyBorder="1" applyFont="1"/>
    <xf borderId="0" fillId="9" fontId="9" numFmtId="0" xfId="0" applyAlignment="1" applyFill="1" applyFont="1">
      <alignment horizontal="center" readingOrder="0" vertical="center"/>
    </xf>
    <xf borderId="10" fillId="0" fontId="10" numFmtId="49" xfId="0" applyAlignment="1" applyBorder="1" applyFont="1" applyNumberFormat="1">
      <alignment horizontal="center" readingOrder="0" shrinkToFit="0" vertical="bottom" wrapText="1"/>
    </xf>
    <xf borderId="0" fillId="10" fontId="14" numFmtId="2" xfId="0" applyAlignment="1" applyFill="1" applyFont="1" applyNumberFormat="1">
      <alignment horizontal="center" readingOrder="0" vertical="center"/>
    </xf>
    <xf borderId="0" fillId="10" fontId="14" numFmtId="0" xfId="0" applyAlignment="1" applyFill="1" applyFont="1">
      <alignment horizontal="center" readingOrder="0" vertical="center"/>
    </xf>
    <xf borderId="1" fillId="0" fontId="15" numFmtId="0" xfId="0" applyAlignment="1" applyBorder="1" applyFont="1">
      <alignment shrinkToFit="0" wrapText="1"/>
    </xf>
    <xf borderId="11" fillId="0" fontId="4" numFmtId="164" xfId="0" applyAlignment="1" applyBorder="1" applyFont="1" applyNumberFormat="1">
      <alignment horizontal="center" readingOrder="0" shrinkToFit="0" vertical="bottom" wrapText="1"/>
    </xf>
    <xf borderId="11" fillId="0" fontId="13" numFmtId="0" xfId="0" applyBorder="1" applyFont="1"/>
    <xf borderId="1" fillId="0" fontId="3" numFmtId="0" xfId="0" applyBorder="1" applyFont="1"/>
    <xf borderId="0" fillId="10" fontId="14" numFmtId="0" xfId="0" applyAlignment="1" applyFill="1" applyFont="1">
      <alignment readingOrder="0" shrinkToFit="0" vertical="center" wrapText="1"/>
    </xf>
    <xf borderId="12" fillId="0" fontId="10" numFmtId="9" xfId="0" applyAlignment="1" applyBorder="1" applyFont="1" applyNumberFormat="1">
      <alignment horizontal="center" readingOrder="0" shrinkToFit="0" vertical="bottom" wrapText="1"/>
    </xf>
    <xf borderId="6" fillId="11" fontId="16" numFmtId="49" xfId="0" applyAlignment="1" applyBorder="1" applyFill="1" applyFont="1" applyNumberFormat="1">
      <alignment readingOrder="0"/>
    </xf>
    <xf borderId="7" fillId="11" fontId="17" numFmtId="0" xfId="0" applyAlignment="1" applyBorder="1" applyFill="1" applyFont="1">
      <alignment horizontal="left" readingOrder="0" shrinkToFit="0" wrapText="1"/>
    </xf>
    <xf borderId="1" fillId="0" fontId="18" numFmtId="0" xfId="0" applyAlignment="1" applyBorder="1" applyFont="1">
      <alignment shrinkToFit="0" vertical="bottom" wrapText="1"/>
    </xf>
    <xf borderId="0" fillId="10" fontId="14" numFmtId="0" xfId="0" applyAlignment="1" applyFill="1" applyFont="1">
      <alignment readingOrder="0" vertical="center"/>
    </xf>
    <xf borderId="0" fillId="10" fontId="19" numFmtId="0" xfId="0" applyAlignment="1" applyFill="1" applyFont="1">
      <alignment horizontal="center" readingOrder="0" vertical="center"/>
    </xf>
    <xf borderId="0" fillId="12" fontId="14" numFmtId="2" xfId="0" applyAlignment="1" applyFill="1" applyFont="1" applyNumberFormat="1">
      <alignment horizontal="center" readingOrder="0" vertical="center"/>
    </xf>
    <xf borderId="0" fillId="12" fontId="14" numFmtId="0" xfId="0" applyAlignment="1" applyFill="1" applyFont="1">
      <alignment horizontal="center" readingOrder="0" vertical="center"/>
    </xf>
    <xf borderId="7" fillId="11" fontId="17" numFmtId="164" xfId="0" applyAlignment="1" applyBorder="1" applyFill="1" applyFont="1" applyNumberFormat="1">
      <alignment horizontal="center" readingOrder="0" shrinkToFit="0" wrapText="1"/>
    </xf>
    <xf borderId="9" fillId="11" fontId="17" numFmtId="164" xfId="0" applyAlignment="1" applyBorder="1" applyFill="1" applyFont="1" applyNumberFormat="1">
      <alignment horizontal="center" readingOrder="0" shrinkToFit="0" wrapText="1"/>
    </xf>
    <xf borderId="13" fillId="0" fontId="10" numFmtId="49" xfId="0" applyAlignment="1" applyBorder="1" applyFont="1" applyNumberFormat="1">
      <alignment horizontal="center" readingOrder="0" shrinkToFit="0" wrapText="1"/>
    </xf>
    <xf borderId="0" fillId="12" fontId="14" numFmtId="0" xfId="0" applyAlignment="1" applyFill="1" applyFont="1">
      <alignment readingOrder="0" shrinkToFit="0" vertical="center" wrapText="1"/>
    </xf>
    <xf borderId="1" fillId="0" fontId="4" numFmtId="164" xfId="0" applyAlignment="1" applyBorder="1" applyFont="1" applyNumberFormat="1">
      <alignment horizontal="center" readingOrder="0" shrinkToFit="0" vertical="bottom" wrapText="1"/>
    </xf>
    <xf borderId="0" fillId="12" fontId="20" numFmtId="0" xfId="0" applyAlignment="1" applyFill="1" applyFont="1">
      <alignment horizontal="center" readingOrder="0" vertical="center"/>
    </xf>
    <xf borderId="0" fillId="4" fontId="14" numFmtId="0" xfId="0" applyAlignment="1" applyFill="1" applyFont="1">
      <alignment horizontal="center" readingOrder="0" vertical="center"/>
    </xf>
    <xf borderId="1" fillId="0" fontId="14" numFmtId="164" xfId="0" applyAlignment="1" applyBorder="1" applyFont="1" applyNumberFormat="1">
      <alignment horizontal="center"/>
    </xf>
    <xf borderId="14" fillId="0" fontId="21" numFmtId="9" xfId="0" applyAlignment="1" applyBorder="1" applyFont="1" applyNumberFormat="1">
      <alignment horizontal="center"/>
    </xf>
    <xf borderId="6" fillId="13" fontId="21" numFmtId="49" xfId="0" applyAlignment="1" applyBorder="1" applyFill="1" applyFont="1" applyNumberFormat="1">
      <alignment readingOrder="0"/>
    </xf>
    <xf borderId="7" fillId="13" fontId="10" numFmtId="0" xfId="0" applyAlignment="1" applyBorder="1" applyFill="1" applyFont="1">
      <alignment horizontal="left" readingOrder="0" shrinkToFit="0" wrapText="1"/>
    </xf>
    <xf borderId="0" fillId="12" fontId="22" numFmtId="0" xfId="0" applyAlignment="1" applyFill="1" applyFont="1">
      <alignment horizontal="center" readingOrder="0" vertical="center"/>
    </xf>
    <xf borderId="0" fillId="12" fontId="19" numFmtId="0" xfId="0" applyAlignment="1" applyFill="1" applyFont="1">
      <alignment horizontal="center" readingOrder="0" vertical="center"/>
    </xf>
    <xf borderId="0" fillId="4" fontId="22" numFmtId="0" xfId="0" applyAlignment="1" applyFill="1" applyFont="1">
      <alignment horizontal="center" readingOrder="0" vertical="center"/>
    </xf>
    <xf borderId="0" fillId="12" fontId="14" numFmtId="0" xfId="0" applyAlignment="1" applyFill="1" applyFont="1">
      <alignment readingOrder="0" vertical="center"/>
    </xf>
    <xf borderId="7" fillId="13" fontId="10" numFmtId="164" xfId="0" applyAlignment="1" applyBorder="1" applyFill="1" applyFont="1" applyNumberFormat="1">
      <alignment horizontal="center" readingOrder="0" shrinkToFit="0" wrapText="1"/>
    </xf>
    <xf borderId="0" fillId="3" fontId="21" numFmtId="0" xfId="0" applyAlignment="1" applyFill="1" applyFont="1">
      <alignment horizontal="center" readingOrder="0" shrinkToFit="0" vertical="center" wrapText="1"/>
    </xf>
    <xf borderId="0" fillId="12" fontId="22" numFmtId="0" xfId="0" applyAlignment="1" applyFill="1" applyFont="1">
      <alignment readingOrder="0" vertical="center"/>
    </xf>
    <xf borderId="9" fillId="13" fontId="10" numFmtId="164" xfId="0" applyAlignment="1" applyBorder="1" applyFill="1" applyFont="1" applyNumberFormat="1">
      <alignment horizontal="center" readingOrder="0" shrinkToFit="0" wrapText="1"/>
    </xf>
    <xf borderId="0" fillId="3" fontId="21" numFmtId="49" xfId="0" applyAlignment="1" applyFill="1" applyFont="1" applyNumberFormat="1">
      <alignment horizontal="center" readingOrder="0" shrinkToFit="0" vertical="center" wrapText="1"/>
    </xf>
    <xf borderId="0" fillId="0" fontId="14" numFmtId="0" xfId="0" applyAlignment="1" applyFont="1">
      <alignment horizontal="center" readingOrder="0" vertical="center"/>
    </xf>
    <xf borderId="6" fillId="0" fontId="14" numFmtId="49" xfId="0" applyAlignment="1" applyBorder="1" applyFont="1" applyNumberFormat="1">
      <alignment horizontal="right" readingOrder="0"/>
    </xf>
    <xf borderId="0" fillId="0" fontId="14" numFmtId="0" xfId="0" applyAlignment="1" applyFont="1">
      <alignment shrinkToFit="0" vertical="center" wrapText="1"/>
    </xf>
    <xf borderId="7" fillId="0" fontId="4" numFmtId="0" xfId="0" applyAlignment="1" applyBorder="1" applyFont="1">
      <alignment horizontal="left" readingOrder="0" shrinkToFit="0" wrapText="1"/>
    </xf>
    <xf borderId="0" fillId="0" fontId="14" numFmtId="0" xfId="0" applyAlignment="1" applyFont="1">
      <alignment horizontal="center" vertical="center"/>
    </xf>
    <xf borderId="0" fillId="3" fontId="23" numFmtId="0" xfId="0" applyAlignment="1" applyFill="1" applyFont="1">
      <alignment horizontal="left" readingOrder="0" shrinkToFit="0" vertical="center" wrapText="0"/>
    </xf>
    <xf borderId="0" fillId="0" fontId="14" numFmtId="0" xfId="0" applyAlignment="1" applyFont="1">
      <alignment vertical="center"/>
    </xf>
    <xf borderId="0" fillId="0" fontId="14" numFmtId="0" xfId="0" applyAlignment="1" applyFont="1">
      <alignment readingOrder="0" shrinkToFit="0" vertical="center" wrapText="1"/>
    </xf>
    <xf borderId="7" fillId="0" fontId="4" numFmtId="164" xfId="0" applyAlignment="1" applyBorder="1" applyFont="1" applyNumberFormat="1">
      <alignment horizontal="center" readingOrder="0" shrinkToFit="0" wrapText="1"/>
    </xf>
    <xf borderId="0" fillId="0" fontId="14" numFmtId="0" xfId="0" applyAlignment="1" applyFont="1">
      <alignment horizontal="center" readingOrder="0" shrinkToFit="0" vertical="center" wrapText="1"/>
    </xf>
    <xf borderId="0" fillId="0" fontId="14" numFmtId="9" xfId="0" applyAlignment="1" applyFont="1" applyNumberFormat="1">
      <alignment horizontal="center" readingOrder="0" shrinkToFit="0" vertical="center" wrapText="1"/>
    </xf>
    <xf borderId="0" fillId="0" fontId="14" numFmtId="0" xfId="0" applyAlignment="1" applyFont="1">
      <alignment readingOrder="0" vertical="center"/>
    </xf>
    <xf borderId="9" fillId="0" fontId="4" numFmtId="164" xfId="0" applyAlignment="1" applyBorder="1" applyFont="1" applyNumberFormat="1">
      <alignment horizontal="center" readingOrder="0" shrinkToFit="0" wrapText="1"/>
    </xf>
    <xf borderId="0" fillId="0" fontId="14" numFmtId="166" xfId="0" applyAlignment="1" applyFont="1" applyNumberFormat="1">
      <alignment shrinkToFit="0" vertical="center" wrapText="1"/>
    </xf>
    <xf borderId="0" fillId="0" fontId="14" numFmtId="0" xfId="0" applyAlignment="1" applyFont="1">
      <alignment readingOrder="0" shrinkToFit="0" vertical="center" wrapText="1"/>
    </xf>
    <xf borderId="0" fillId="0" fontId="14" numFmtId="9" xfId="0" applyAlignment="1" applyFont="1" applyNumberFormat="1">
      <alignment readingOrder="0" shrinkToFit="0" vertical="center" wrapText="1"/>
    </xf>
    <xf borderId="0" fillId="0" fontId="23" numFmtId="0" xfId="0" applyAlignment="1" applyFont="1">
      <alignment readingOrder="0" shrinkToFit="0" vertical="center" wrapText="1"/>
    </xf>
    <xf borderId="15" fillId="14" fontId="9" numFmtId="0" xfId="0" applyAlignment="1" applyBorder="1" applyFill="1" applyFont="1">
      <alignment horizontal="center" readingOrder="0" shrinkToFit="0" vertical="center" wrapText="1"/>
    </xf>
    <xf borderId="16" fillId="0" fontId="10" numFmtId="49" xfId="0" applyAlignment="1" applyBorder="1" applyFont="1" applyNumberFormat="1">
      <alignment horizontal="center" readingOrder="0" shrinkToFit="0" wrapText="1"/>
    </xf>
    <xf borderId="17" fillId="14" fontId="9" numFmtId="0" xfId="0" applyAlignment="1" applyBorder="1" applyFill="1" applyFont="1">
      <alignment horizontal="center" readingOrder="0" shrinkToFit="0" vertical="center" wrapText="1"/>
    </xf>
    <xf borderId="18" fillId="0" fontId="14" numFmtId="164" xfId="0" applyAlignment="1" applyBorder="1" applyFont="1" applyNumberFormat="1">
      <alignment horizontal="center"/>
    </xf>
    <xf borderId="19" fillId="0" fontId="13" numFmtId="0" xfId="0" applyBorder="1" applyFont="1"/>
    <xf borderId="0" fillId="14" fontId="24" numFmtId="0" xfId="0" applyAlignment="1" applyFill="1" applyFont="1">
      <alignment horizontal="center" readingOrder="0"/>
    </xf>
    <xf borderId="20" fillId="0" fontId="21" numFmtId="9" xfId="0" applyAlignment="1" applyBorder="1" applyFont="1" applyNumberFormat="1">
      <alignment horizontal="center"/>
    </xf>
    <xf borderId="0" fillId="0" fontId="14" numFmtId="166" xfId="0" applyAlignment="1" applyFont="1" applyNumberFormat="1">
      <alignment readingOrder="0" shrinkToFit="0" vertical="center" wrapText="1"/>
    </xf>
    <xf borderId="0" fillId="15" fontId="14" numFmtId="0" xfId="0" applyAlignment="1" applyFill="1" applyFont="1">
      <alignment horizontal="center" readingOrder="0" shrinkToFit="0" vertical="center" wrapText="1"/>
    </xf>
    <xf borderId="0" fillId="15" fontId="23" numFmtId="0" xfId="0" applyAlignment="1" applyFill="1" applyFont="1">
      <alignment horizontal="center"/>
    </xf>
    <xf borderId="0" fillId="0" fontId="14" numFmtId="0" xfId="0" applyAlignment="1" applyFont="1">
      <alignment horizontal="center" readingOrder="0" shrinkToFit="0" vertical="center" wrapText="1"/>
    </xf>
    <xf borderId="0" fillId="0" fontId="14" numFmtId="0" xfId="0" applyAlignment="1" applyFont="1">
      <alignment readingOrder="0" shrinkToFit="0" vertical="center" wrapText="1"/>
    </xf>
    <xf borderId="0" fillId="0" fontId="14" numFmtId="0" xfId="0" applyAlignment="1" applyFont="1">
      <alignment readingOrder="0" shrinkToFit="0" vertical="center" wrapText="1"/>
    </xf>
    <xf borderId="0" fillId="0" fontId="14" numFmtId="0" xfId="0" applyAlignment="1" applyFont="1">
      <alignment horizontal="center" readingOrder="0" shrinkToFit="0" vertical="center" wrapText="1"/>
    </xf>
    <xf borderId="0" fillId="0" fontId="14" numFmtId="9" xfId="0" applyAlignment="1" applyFont="1" applyNumberFormat="1">
      <alignment horizontal="center" readingOrder="0" shrinkToFit="0" vertical="center" wrapText="1"/>
    </xf>
    <xf borderId="0" fillId="0" fontId="23" numFmtId="0" xfId="0" applyAlignment="1" applyFont="1">
      <alignment horizontal="center" readingOrder="0"/>
    </xf>
    <xf borderId="0" fillId="0" fontId="23" numFmtId="0" xfId="0" applyAlignment="1" applyFont="1">
      <alignment horizontal="left" readingOrder="0"/>
    </xf>
    <xf borderId="0" fillId="0" fontId="14" numFmtId="166" xfId="0" applyAlignment="1" applyFont="1" applyNumberFormat="1">
      <alignment shrinkToFit="0" vertical="center" wrapText="1"/>
    </xf>
    <xf borderId="0" fillId="0" fontId="14" numFmtId="0" xfId="0" applyAlignment="1" applyFont="1">
      <alignment readingOrder="0" shrinkToFit="0" vertical="center" wrapText="1"/>
    </xf>
    <xf borderId="21" fillId="0" fontId="25" numFmtId="164" xfId="0" applyAlignment="1" applyBorder="1" applyFont="1" applyNumberFormat="1">
      <alignment horizontal="center"/>
    </xf>
    <xf borderId="22" fillId="0" fontId="13" numFmtId="0" xfId="0" applyBorder="1" applyFont="1"/>
    <xf borderId="23" fillId="0" fontId="13" numFmtId="0" xfId="0" applyBorder="1" applyFont="1"/>
    <xf borderId="0" fillId="0" fontId="26" numFmtId="0" xfId="0" applyAlignment="1" applyFont="1">
      <alignment readingOrder="0"/>
    </xf>
    <xf borderId="0" fillId="0" fontId="14" numFmtId="166" xfId="0" applyAlignment="1" applyFont="1" applyNumberFormat="1">
      <alignment readingOrder="0" shrinkToFit="0" vertical="center" wrapText="1"/>
    </xf>
    <xf borderId="0" fillId="0" fontId="14" numFmtId="0" xfId="0" applyAlignment="1" applyFont="1">
      <alignment horizontal="center" shrinkToFit="0" vertical="center" wrapText="1"/>
    </xf>
    <xf borderId="0" fillId="0" fontId="23" numFmtId="0" xfId="0" applyAlignment="1" applyFont="1">
      <alignment readingOrder="0"/>
    </xf>
    <xf borderId="0" fillId="0" fontId="23" numFmtId="0" xfId="0" applyFont="1"/>
    <xf borderId="0" fillId="10" fontId="27" numFmtId="0" xfId="0" applyAlignment="1" applyFill="1" applyFont="1">
      <alignment readingOrder="0" shrinkToFit="0" vertical="center" wrapText="1"/>
    </xf>
    <xf borderId="0" fillId="0" fontId="14" numFmtId="167" xfId="0" applyAlignment="1" applyFont="1" applyNumberFormat="1">
      <alignment horizontal="center" readingOrder="0" shrinkToFit="0" vertical="center" wrapText="1"/>
    </xf>
    <xf borderId="0" fillId="0" fontId="28" numFmtId="0" xfId="0" applyAlignment="1" applyFont="1">
      <alignment readingOrder="0" shrinkToFit="0" vertical="center" wrapText="1"/>
    </xf>
    <xf borderId="24" fillId="4" fontId="29" numFmtId="0" xfId="0" applyAlignment="1" applyBorder="1" applyFill="1" applyFont="1">
      <alignment horizontal="center" readingOrder="0" shrinkToFit="0" wrapText="1"/>
    </xf>
    <xf borderId="25" fillId="0" fontId="13" numFmtId="0" xfId="0" applyBorder="1" applyFont="1"/>
    <xf borderId="0" fillId="0" fontId="30" numFmtId="0" xfId="0" applyAlignment="1" applyFont="1">
      <alignment horizontal="center" readingOrder="0" shrinkToFit="0" wrapText="1"/>
    </xf>
    <xf borderId="0" fillId="0" fontId="27" numFmtId="0" xfId="0" applyAlignment="1" applyFont="1">
      <alignment readingOrder="0" shrinkToFit="0" vertical="center" wrapText="0"/>
    </xf>
    <xf borderId="0" fillId="0" fontId="14" numFmtId="0" xfId="0" applyAlignment="1" applyFont="1">
      <alignment horizontal="center" readingOrder="0" shrinkToFit="0" vertical="center" wrapText="1"/>
    </xf>
    <xf borderId="26" fillId="0" fontId="14" numFmtId="49" xfId="0" applyAlignment="1" applyBorder="1" applyFont="1" applyNumberFormat="1">
      <alignment horizontal="right" readingOrder="0"/>
    </xf>
    <xf borderId="27" fillId="0" fontId="4" numFmtId="0" xfId="0" applyAlignment="1" applyBorder="1" applyFont="1">
      <alignment horizontal="left" readingOrder="0" shrinkToFit="0" wrapText="1"/>
    </xf>
    <xf borderId="28" fillId="4" fontId="31" numFmtId="0" xfId="0" applyAlignment="1" applyBorder="1" applyFill="1" applyFont="1">
      <alignment horizontal="center" readingOrder="0" shrinkToFit="0" wrapText="1"/>
    </xf>
    <xf borderId="29" fillId="0" fontId="13" numFmtId="0" xfId="0" applyBorder="1" applyFont="1"/>
    <xf borderId="27" fillId="0" fontId="4" numFmtId="164" xfId="0" applyAlignment="1" applyBorder="1" applyFont="1" applyNumberFormat="1">
      <alignment horizontal="center" readingOrder="0" shrinkToFit="0" wrapText="1"/>
    </xf>
    <xf borderId="30" fillId="0" fontId="4" numFmtId="164" xfId="0" applyAlignment="1" applyBorder="1" applyFont="1" applyNumberFormat="1">
      <alignment horizontal="center" readingOrder="0" shrinkToFit="0" wrapText="1"/>
    </xf>
    <xf borderId="31" fillId="6" fontId="10" numFmtId="49" xfId="0" applyAlignment="1" applyBorder="1" applyFill="1" applyFont="1" applyNumberFormat="1">
      <alignment horizontal="left" readingOrder="0" shrinkToFit="0" wrapText="1"/>
    </xf>
    <xf borderId="32" fillId="6" fontId="10" numFmtId="0" xfId="0" applyAlignment="1" applyBorder="1" applyFill="1" applyFont="1">
      <alignment horizontal="left" readingOrder="0" shrinkToFit="0" wrapText="1"/>
    </xf>
    <xf borderId="33" fillId="6" fontId="10" numFmtId="164" xfId="0" applyAlignment="1" applyBorder="1" applyFill="1" applyFont="1" applyNumberFormat="1">
      <alignment horizontal="center" readingOrder="0" shrinkToFit="0" wrapText="1"/>
    </xf>
    <xf borderId="0" fillId="0" fontId="16" numFmtId="49" xfId="0" applyAlignment="1" applyFont="1" applyNumberFormat="1">
      <alignment readingOrder="0"/>
    </xf>
    <xf borderId="0" fillId="0" fontId="17" numFmtId="0" xfId="0" applyAlignment="1" applyFont="1">
      <alignment horizontal="left" readingOrder="0" shrinkToFit="0" wrapText="1"/>
    </xf>
    <xf borderId="0" fillId="0" fontId="17" numFmtId="164" xfId="0" applyAlignment="1" applyFont="1" applyNumberFormat="1">
      <alignment horizontal="center" readingOrder="0" shrinkToFit="0" wrapText="1"/>
    </xf>
    <xf borderId="34" fillId="13" fontId="10" numFmtId="0" xfId="0" applyAlignment="1" applyBorder="1" applyFill="1" applyFont="1">
      <alignment horizontal="left" readingOrder="0" shrinkToFit="0" wrapText="1"/>
    </xf>
    <xf borderId="34" fillId="13" fontId="10" numFmtId="164" xfId="0" applyAlignment="1" applyBorder="1" applyFill="1" applyFont="1" applyNumberFormat="1">
      <alignment horizontal="center" readingOrder="0" shrinkToFit="0" wrapText="1"/>
    </xf>
    <xf borderId="6" fillId="0" fontId="32" numFmtId="49" xfId="0" applyAlignment="1" applyBorder="1" applyFont="1" applyNumberFormat="1">
      <alignment readingOrder="0"/>
    </xf>
    <xf borderId="34" fillId="0" fontId="33" numFmtId="0" xfId="0" applyAlignment="1" applyBorder="1" applyFont="1">
      <alignment horizontal="left" readingOrder="0" shrinkToFit="0" wrapText="1"/>
    </xf>
    <xf borderId="34" fillId="0" fontId="33" numFmtId="164" xfId="0" applyAlignment="1" applyBorder="1" applyFont="1" applyNumberFormat="1">
      <alignment horizontal="center" readingOrder="0" shrinkToFit="0" wrapText="1"/>
    </xf>
    <xf borderId="9" fillId="0" fontId="33" numFmtId="164" xfId="0" applyAlignment="1" applyBorder="1" applyFont="1" applyNumberFormat="1">
      <alignment horizontal="center" readingOrder="0" shrinkToFit="0" wrapText="1"/>
    </xf>
    <xf borderId="34" fillId="0" fontId="4" numFmtId="0" xfId="0" applyAlignment="1" applyBorder="1" applyFont="1">
      <alignment horizontal="left" readingOrder="0" shrinkToFit="0" wrapText="1"/>
    </xf>
    <xf borderId="0" fillId="0" fontId="14" numFmtId="0" xfId="0" applyAlignment="1" applyFont="1">
      <alignment horizontal="center" readingOrder="0" shrinkToFit="0" vertical="center" wrapText="1"/>
    </xf>
    <xf borderId="34" fillId="0" fontId="4" numFmtId="164" xfId="0" applyAlignment="1" applyBorder="1" applyFont="1" applyNumberFormat="1">
      <alignment horizontal="center" readingOrder="0" shrinkToFit="0" wrapText="1"/>
    </xf>
    <xf borderId="0" fillId="0" fontId="14" numFmtId="0" xfId="0" applyAlignment="1" applyFont="1">
      <alignment shrinkToFit="0" vertical="center" wrapText="1"/>
    </xf>
    <xf borderId="0" fillId="0" fontId="14" numFmtId="0" xfId="0" applyAlignment="1" applyFont="1">
      <alignment shrinkToFit="0" vertical="center" wrapText="1"/>
    </xf>
    <xf borderId="6" fillId="11" fontId="16" numFmtId="49" xfId="0" applyAlignment="1" applyBorder="1" applyFill="1" applyFont="1" applyNumberFormat="1">
      <alignment horizontal="right" readingOrder="0"/>
    </xf>
    <xf borderId="0" fillId="16" fontId="34" numFmtId="0" xfId="0" applyAlignment="1" applyFill="1" applyFont="1">
      <alignment horizontal="left" readingOrder="0" shrinkToFit="0" vertical="center" wrapText="1"/>
    </xf>
    <xf borderId="6" fillId="0" fontId="33" numFmtId="49" xfId="0" applyAlignment="1" applyBorder="1" applyFont="1" applyNumberFormat="1">
      <alignment horizontal="left" readingOrder="0" shrinkToFit="0" wrapText="1"/>
    </xf>
    <xf borderId="0" fillId="10" fontId="27" numFmtId="0" xfId="0" applyAlignment="1" applyFill="1" applyFont="1">
      <alignment readingOrder="0" shrinkToFit="0" vertical="center" wrapText="1"/>
    </xf>
    <xf borderId="6" fillId="0" fontId="4" numFmtId="49" xfId="0" applyAlignment="1" applyBorder="1" applyFont="1" applyNumberFormat="1">
      <alignment horizontal="right" readingOrder="0" shrinkToFit="0" wrapText="1"/>
    </xf>
    <xf borderId="6" fillId="13" fontId="10" numFmtId="49" xfId="0" applyAlignment="1" applyBorder="1" applyFill="1" applyFont="1" applyNumberFormat="1">
      <alignment horizontal="left" readingOrder="0" shrinkToFit="0" wrapText="1"/>
    </xf>
    <xf borderId="0" fillId="0" fontId="27" numFmtId="0" xfId="0" applyAlignment="1" applyFont="1">
      <alignment readingOrder="0" shrinkToFit="0" vertical="center" wrapText="1"/>
    </xf>
    <xf borderId="0" fillId="0" fontId="27" numFmtId="0" xfId="0" applyAlignment="1" applyFont="1">
      <alignment readingOrder="0" shrinkToFit="0" vertical="center" wrapText="0"/>
    </xf>
    <xf borderId="0" fillId="0" fontId="23" numFmtId="0" xfId="0" applyAlignment="1" applyFont="1">
      <alignment horizontal="center"/>
    </xf>
    <xf borderId="0" fillId="0" fontId="33" numFmtId="0" xfId="0" applyAlignment="1" applyFont="1">
      <alignment horizontal="left" readingOrder="0" shrinkToFit="0" wrapText="1"/>
    </xf>
    <xf borderId="0" fillId="0" fontId="35" numFmtId="0" xfId="0" applyFont="1"/>
    <xf borderId="26" fillId="0" fontId="4" numFmtId="49" xfId="0" applyAlignment="1" applyBorder="1" applyFont="1" applyNumberFormat="1">
      <alignment horizontal="right" readingOrder="0" shrinkToFit="0" wrapText="1"/>
    </xf>
    <xf borderId="35" fillId="0" fontId="4" numFmtId="0" xfId="0" applyAlignment="1" applyBorder="1" applyFont="1">
      <alignment horizontal="left" readingOrder="0" shrinkToFit="0" wrapText="1"/>
    </xf>
    <xf borderId="35" fillId="0" fontId="4" numFmtId="164" xfId="0" applyAlignment="1" applyBorder="1" applyFont="1" applyNumberFormat="1">
      <alignment horizontal="center" readingOrder="0" shrinkToFit="0" wrapText="1"/>
    </xf>
    <xf borderId="36" fillId="6" fontId="10" numFmtId="49" xfId="0" applyAlignment="1" applyBorder="1" applyFill="1" applyFont="1" applyNumberFormat="1">
      <alignment horizontal="left" readingOrder="0" shrinkToFit="0" wrapText="1"/>
    </xf>
    <xf borderId="37" fillId="6" fontId="10" numFmtId="0" xfId="0" applyAlignment="1" applyBorder="1" applyFill="1" applyFont="1">
      <alignment horizontal="left" readingOrder="0" shrinkToFit="0" wrapText="1"/>
    </xf>
    <xf borderId="37" fillId="6" fontId="10" numFmtId="164" xfId="0" applyAlignment="1" applyBorder="1" applyFill="1" applyFont="1" applyNumberFormat="1">
      <alignment horizontal="center" readingOrder="0" shrinkToFit="0" wrapText="1"/>
    </xf>
    <xf borderId="38" fillId="6" fontId="10" numFmtId="164" xfId="0" applyAlignment="1" applyBorder="1" applyFill="1" applyFont="1" applyNumberFormat="1">
      <alignment horizontal="center" readingOrder="0" shrinkToFit="0" wrapText="1"/>
    </xf>
    <xf borderId="26" fillId="0" fontId="33" numFmtId="49" xfId="0" applyAlignment="1" applyBorder="1" applyFont="1" applyNumberFormat="1">
      <alignment horizontal="left" readingOrder="0" shrinkToFit="0" wrapText="1"/>
    </xf>
    <xf borderId="35" fillId="0" fontId="33" numFmtId="0" xfId="0" applyAlignment="1" applyBorder="1" applyFont="1">
      <alignment horizontal="left" readingOrder="0" shrinkToFit="0" wrapText="1"/>
    </xf>
    <xf borderId="35" fillId="0" fontId="33" numFmtId="164" xfId="0" applyAlignment="1" applyBorder="1" applyFont="1" applyNumberFormat="1">
      <alignment horizontal="center" readingOrder="0" shrinkToFit="0" wrapText="1"/>
    </xf>
    <xf borderId="30" fillId="0" fontId="33" numFmtId="164" xfId="0" applyAlignment="1" applyBorder="1" applyFont="1" applyNumberFormat="1">
      <alignment horizontal="center" readingOrder="0" shrinkToFit="0" wrapText="1"/>
    </xf>
    <xf borderId="0" fillId="0" fontId="23" numFmtId="49" xfId="0" applyFont="1" applyNumberFormat="1"/>
    <xf borderId="0" fillId="0" fontId="23" numFmtId="164" xfId="0" applyAlignment="1" applyFont="1" applyNumberFormat="1">
      <alignment horizontal="center"/>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D9D9D9"/>
          <bgColor rgb="FFD9D9D9"/>
        </patternFill>
      </fill>
      <border/>
    </dxf>
    <dxf>
      <font>
        <b/>
        <color rgb="FFFFFFFF"/>
      </font>
      <fill>
        <patternFill patternType="solid">
          <fgColor rgb="FFFF0000"/>
          <bgColor rgb="FFFF0000"/>
        </patternFill>
      </fill>
      <border/>
    </dxf>
    <dxf>
      <font>
        <color rgb="FFFFFFFF"/>
      </font>
      <fill>
        <patternFill patternType="solid">
          <fgColor rgb="FFFF0000"/>
          <bgColor rgb="FFFF0000"/>
        </patternFill>
      </fill>
      <border/>
    </dxf>
  </dxfs>
  <tableStyles count="2">
    <tableStyle count="4" pivot="0" name="Listing DRL-style">
      <tableStyleElement dxfId="1" type="headerRow"/>
      <tableStyleElement dxfId="2" type="firstRowStripe"/>
      <tableStyleElement dxfId="3" type="secondRowStripe"/>
      <tableStyleElement dxfId="4" size="0" type="wholeTable"/>
    </tableStyle>
    <tableStyle count="4" pivot="0" name="Listing DRL-style 2">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H31" displayName="Listing" name="Listing" id="1">
  <autoFilter ref="$A$1:$H$31"/>
  <tableColumns count="8">
    <tableColumn name="Hoạt động" id="1"/>
    <tableColumn name="Mã hoạt động" id="2"/>
    <tableColumn name="Mục" id="3"/>
    <tableColumn name="Tình trạng" id="4"/>
    <tableColumn name="Điểm" id="5"/>
    <tableColumn name="Đóng tiền" id="6"/>
    <tableColumn name="Link" id="7"/>
    <tableColumn name="Note" id="8"/>
  </tableColumns>
  <tableStyleInfo name="Listing DRL-style" showColumnStripes="0" showFirstColumn="1" showLastColumn="1" showRowStripes="1"/>
</table>
</file>

<file path=xl/tables/table2.xml><?xml version="1.0" encoding="utf-8"?>
<table xmlns="http://schemas.openxmlformats.org/spreadsheetml/2006/main" ref="J1:K4" displayName="Bảng_6" name="Bảng_6" id="2">
  <tableColumns count="2">
    <tableColumn name="Tiến độ" id="1"/>
    <tableColumn name="Giải mã" id="2"/>
  </tableColumns>
  <tableStyleInfo name="Listing DRL-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sa.ueh.edu.vn/cong-tac-sinh-vien/quan-ly-ngoai-tru-sinh-vien/huong-dan-thuc-hien-ve-viec-ke-khai-thong-tin-noi-ngoai-tru-sinh-vien-he-dai-hoc-chinh-quy-hoc-ky-cuoi-2025/" TargetMode="External"/><Relationship Id="rId2" Type="http://schemas.openxmlformats.org/officeDocument/2006/relationships/hyperlink" Target="https://drs.ueh.edu.vn/student" TargetMode="External"/><Relationship Id="rId3" Type="http://schemas.openxmlformats.org/officeDocument/2006/relationships/hyperlink" Target="https://youthquiz.ueh.edu.vn/" TargetMode="External"/><Relationship Id="rId4" Type="http://schemas.openxmlformats.org/officeDocument/2006/relationships/drawing" Target="../drawings/drawing1.xml"/><Relationship Id="rId7" Type="http://schemas.openxmlformats.org/officeDocument/2006/relationships/table" Target="../tables/table1.xml"/><Relationship Id="rId8"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yisb.isb.edu.vn/Files/Giaotrinh/ISB-BBUS_StudentHandbook2024-2025.pdf"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canva.com/design/DAGY-VNi01c/a5kW_dVZhu2gjqSTUcq5pA/edit" TargetMode="External"/><Relationship Id="rId2" Type="http://schemas.openxmlformats.org/officeDocument/2006/relationships/hyperlink" Target="https://www.canva.com/design/DAGbld6QIGw/bSyAQz4CH3nCDPeNau6Ifw/edit" TargetMode="External"/><Relationship Id="rId3" Type="http://schemas.openxmlformats.org/officeDocument/2006/relationships/hyperlink" Target="https://www.canva.com/design/DAGU8_wgrz8/5M__W1wWWtjZI9BnNfj8gw/edit" TargetMode="External"/><Relationship Id="rId4" Type="http://schemas.openxmlformats.org/officeDocument/2006/relationships/hyperlink" Target="https://www.canva.com/design/DAGU8_wgrz8/5M__W1wWWtjZI9BnNfj8gw/edit" TargetMode="External"/><Relationship Id="rId9" Type="http://schemas.openxmlformats.org/officeDocument/2006/relationships/drawing" Target="../drawings/drawing4.xml"/><Relationship Id="rId5" Type="http://schemas.openxmlformats.org/officeDocument/2006/relationships/hyperlink" Target="https://www.canva.com/design/DAGY0UiicsA/3aj8g2WVx_P6BuwtQ3Tyuw/edit" TargetMode="External"/><Relationship Id="rId6" Type="http://schemas.openxmlformats.org/officeDocument/2006/relationships/hyperlink" Target="https://www.canva.com/design/DAGLzU12y1c/w3LwvcbkX1Zqm_0EKZ9l7A/edit?ui=eyJEIjp7IlAiOnsiQiI6ZmFsc2V9fX0" TargetMode="External"/><Relationship Id="rId7" Type="http://schemas.openxmlformats.org/officeDocument/2006/relationships/hyperlink" Target="https://docs.google.com/spreadsheets/d/1tTwL18-FMT9u3TKEwy-q6Whn6npZxdBgLRF234BZSCg/edit?usp=drive_link" TargetMode="External"/><Relationship Id="rId8" Type="http://schemas.openxmlformats.org/officeDocument/2006/relationships/hyperlink" Target="https://docs.google.com/spreadsheets/d/1jnaBNmZtQ8RvXDWEIWZYzjxouxBRXu1WBgyRe2DLUO0/edit?usp=drive_link"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Z7KI9BSeMhaJrA6O6VZ2X0mwdIAMIRegBTuhIPLYPGM/edit?gid=0" TargetMode="External"/><Relationship Id="rId2" Type="http://schemas.openxmlformats.org/officeDocument/2006/relationships/hyperlink" Target="https://docs.google.com/spreadsheets/d/152LWaio0AYS0qHhCJqGKfIdEJEsbfv7cH8IUigQqJHk/edit?gid=0" TargetMode="External"/><Relationship Id="rId3"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0"/>
    <col customWidth="1" min="2" max="2" width="18.88"/>
    <col customWidth="1" min="3" max="3" width="16.0"/>
    <col customWidth="1" min="4" max="4" width="17.0"/>
    <col customWidth="1" min="5" max="5" width="9.63"/>
    <col customWidth="1" min="9" max="9" width="5.75"/>
    <col customWidth="1" min="10" max="10" width="14.38"/>
    <col customWidth="1" min="11" max="11" width="37.63"/>
  </cols>
  <sheetData>
    <row r="1" ht="22.5" customHeight="1">
      <c r="A1" s="64" t="s">
        <v>108</v>
      </c>
      <c r="B1" s="64" t="s">
        <v>113</v>
      </c>
      <c r="C1" s="67" t="s">
        <v>115</v>
      </c>
      <c r="D1" s="64" t="s">
        <v>116</v>
      </c>
      <c r="E1" s="64" t="s">
        <v>118</v>
      </c>
      <c r="F1" s="64" t="s">
        <v>120</v>
      </c>
      <c r="G1" s="64" t="s">
        <v>122</v>
      </c>
      <c r="H1" s="64" t="s">
        <v>9</v>
      </c>
      <c r="J1" s="73" t="s">
        <v>20</v>
      </c>
      <c r="K1" s="73" t="s">
        <v>123</v>
      </c>
    </row>
    <row r="2" ht="22.5" customHeight="1">
      <c r="A2" s="75" t="s">
        <v>124</v>
      </c>
      <c r="B2" s="75" t="s">
        <v>125</v>
      </c>
      <c r="C2" s="77" t="s">
        <v>126</v>
      </c>
      <c r="D2" s="78">
        <v>0.5</v>
      </c>
      <c r="E2" s="75">
        <v>1.0</v>
      </c>
      <c r="F2" s="81"/>
      <c r="G2" s="82"/>
      <c r="H2" s="82"/>
      <c r="J2" s="83">
        <v>0.0</v>
      </c>
      <c r="K2" s="84" t="s">
        <v>130</v>
      </c>
    </row>
    <row r="3" ht="22.5" customHeight="1">
      <c r="A3" s="75" t="s">
        <v>133</v>
      </c>
      <c r="B3" s="75" t="s">
        <v>136</v>
      </c>
      <c r="C3" s="77" t="s">
        <v>126</v>
      </c>
      <c r="D3" s="78">
        <v>1.0</v>
      </c>
      <c r="E3" s="75">
        <v>1.0</v>
      </c>
      <c r="F3" s="92"/>
      <c r="G3" s="75"/>
      <c r="H3" s="75"/>
      <c r="J3" s="83">
        <v>0.25</v>
      </c>
      <c r="K3" s="84" t="s">
        <v>146</v>
      </c>
    </row>
    <row r="4" ht="22.5" customHeight="1">
      <c r="A4" s="97" t="s">
        <v>148</v>
      </c>
      <c r="B4" s="97" t="s">
        <v>151</v>
      </c>
      <c r="C4" s="98" t="s">
        <v>153</v>
      </c>
      <c r="D4" s="99">
        <v>1.0</v>
      </c>
      <c r="E4" s="97">
        <v>1.0</v>
      </c>
      <c r="F4" s="102"/>
      <c r="G4" s="103"/>
      <c r="H4" s="97"/>
      <c r="J4" s="83">
        <v>0.5</v>
      </c>
      <c r="K4" s="84" t="s">
        <v>159</v>
      </c>
    </row>
    <row r="5" ht="22.5" customHeight="1">
      <c r="A5" s="97" t="s">
        <v>160</v>
      </c>
      <c r="B5" s="97" t="s">
        <v>163</v>
      </c>
      <c r="C5" s="98" t="s">
        <v>164</v>
      </c>
      <c r="D5" s="99">
        <v>1.0</v>
      </c>
      <c r="E5" s="97">
        <v>2.5</v>
      </c>
      <c r="F5" s="108"/>
      <c r="G5" s="103"/>
      <c r="H5" s="97"/>
    </row>
    <row r="6" ht="22.5" customHeight="1">
      <c r="A6" s="112" t="s">
        <v>178</v>
      </c>
      <c r="B6" s="97"/>
      <c r="C6" s="113">
        <v>46057.0</v>
      </c>
      <c r="D6" s="99">
        <v>0.5</v>
      </c>
      <c r="E6" s="97">
        <v>5.0</v>
      </c>
      <c r="F6" s="108"/>
      <c r="G6" s="114" t="s">
        <v>181</v>
      </c>
      <c r="H6" s="103"/>
      <c r="J6" s="115" t="s">
        <v>184</v>
      </c>
      <c r="K6" s="116"/>
      <c r="L6" s="117"/>
      <c r="M6" s="117"/>
      <c r="N6" s="117"/>
      <c r="O6" s="117"/>
      <c r="P6" s="117"/>
    </row>
    <row r="7" ht="22.5" customHeight="1">
      <c r="A7" s="118"/>
      <c r="B7" s="97"/>
      <c r="C7" s="119"/>
      <c r="D7" s="99"/>
      <c r="E7" s="97"/>
      <c r="F7" s="108"/>
      <c r="G7" s="103"/>
      <c r="H7" s="103"/>
      <c r="J7" s="122" t="s">
        <v>189</v>
      </c>
      <c r="K7" s="123"/>
      <c r="L7" s="117"/>
      <c r="M7" s="117"/>
      <c r="N7" s="117"/>
      <c r="O7" s="117"/>
      <c r="P7" s="117"/>
    </row>
    <row r="8" ht="22.5" customHeight="1">
      <c r="A8" s="97"/>
      <c r="B8" s="97"/>
      <c r="C8" s="119"/>
      <c r="D8" s="99"/>
      <c r="E8" s="97"/>
      <c r="F8" s="108"/>
      <c r="G8" s="103"/>
      <c r="H8" s="97"/>
    </row>
    <row r="9" ht="22.5" customHeight="1">
      <c r="A9" s="97"/>
      <c r="B9" s="97"/>
      <c r="C9" s="119"/>
      <c r="D9" s="99"/>
      <c r="E9" s="97"/>
      <c r="F9" s="108"/>
      <c r="G9" s="103"/>
      <c r="H9" s="97"/>
    </row>
    <row r="10" ht="22.5" customHeight="1">
      <c r="A10" s="97"/>
      <c r="B10" s="97"/>
      <c r="C10" s="119"/>
      <c r="D10" s="99"/>
      <c r="E10" s="97"/>
      <c r="F10" s="108"/>
      <c r="G10" s="103"/>
      <c r="H10" s="97"/>
    </row>
    <row r="11" ht="22.5" customHeight="1">
      <c r="A11" s="97"/>
      <c r="B11" s="97"/>
      <c r="C11" s="119"/>
      <c r="D11" s="99"/>
      <c r="E11" s="97"/>
      <c r="F11" s="108"/>
      <c r="G11" s="103"/>
      <c r="H11" s="97"/>
    </row>
    <row r="12" ht="22.5" customHeight="1">
      <c r="A12" s="97"/>
      <c r="B12" s="97"/>
      <c r="C12" s="119"/>
      <c r="D12" s="99"/>
      <c r="E12" s="97"/>
      <c r="F12" s="108"/>
      <c r="G12" s="103"/>
      <c r="H12" s="97"/>
    </row>
    <row r="13" ht="22.5" customHeight="1">
      <c r="A13" s="97"/>
      <c r="B13" s="97"/>
      <c r="C13" s="119"/>
      <c r="D13" s="99"/>
      <c r="E13" s="97"/>
      <c r="F13" s="108"/>
      <c r="G13" s="103"/>
      <c r="H13" s="97"/>
    </row>
    <row r="14" ht="22.5" customHeight="1">
      <c r="A14" s="112"/>
      <c r="B14" s="97"/>
      <c r="C14" s="119"/>
      <c r="D14" s="99"/>
      <c r="E14" s="97"/>
      <c r="F14" s="108"/>
      <c r="G14" s="103"/>
      <c r="H14" s="103"/>
    </row>
    <row r="15" ht="22.5" customHeight="1">
      <c r="A15" s="97"/>
      <c r="B15" s="97"/>
      <c r="C15" s="119"/>
      <c r="D15" s="99"/>
      <c r="E15" s="97"/>
      <c r="F15" s="108"/>
      <c r="G15" s="103"/>
      <c r="H15" s="97"/>
    </row>
    <row r="16" ht="22.5" customHeight="1">
      <c r="A16" s="75"/>
      <c r="B16" s="75"/>
      <c r="C16" s="139"/>
      <c r="D16" s="78"/>
      <c r="E16" s="75"/>
      <c r="F16" s="81"/>
      <c r="G16" s="141"/>
      <c r="H16" s="141"/>
    </row>
    <row r="17" ht="22.5" customHeight="1">
      <c r="A17" s="97"/>
      <c r="B17" s="97"/>
      <c r="C17" s="119"/>
      <c r="D17" s="99"/>
      <c r="E17" s="97"/>
      <c r="F17" s="108"/>
      <c r="G17" s="142"/>
      <c r="H17" s="142"/>
    </row>
    <row r="18" ht="22.5" customHeight="1">
      <c r="A18" s="75"/>
      <c r="B18" s="75"/>
      <c r="C18" s="139"/>
      <c r="D18" s="78"/>
      <c r="E18" s="75"/>
      <c r="F18" s="92"/>
      <c r="G18" s="141"/>
      <c r="H18" s="141"/>
    </row>
    <row r="19" ht="22.5" customHeight="1">
      <c r="A19" s="75"/>
      <c r="B19" s="75"/>
      <c r="C19" s="139"/>
      <c r="D19" s="78"/>
      <c r="E19" s="75"/>
      <c r="F19" s="92"/>
      <c r="G19" s="75"/>
      <c r="H19" s="75"/>
    </row>
    <row r="20" ht="22.5" customHeight="1">
      <c r="A20" s="97"/>
      <c r="B20" s="97"/>
      <c r="C20" s="119"/>
      <c r="D20" s="99"/>
      <c r="E20" s="97"/>
      <c r="F20" s="108"/>
      <c r="G20" s="103"/>
      <c r="H20" s="97"/>
    </row>
    <row r="21" ht="22.5" customHeight="1">
      <c r="A21" s="144"/>
      <c r="B21" s="97"/>
      <c r="C21" s="119"/>
      <c r="D21" s="99"/>
      <c r="E21" s="97"/>
      <c r="F21" s="108"/>
      <c r="G21" s="103"/>
      <c r="H21" s="103"/>
    </row>
    <row r="22" ht="22.5" customHeight="1">
      <c r="A22" s="146"/>
      <c r="B22" s="97"/>
      <c r="C22" s="119"/>
      <c r="D22" s="78"/>
      <c r="E22" s="97"/>
      <c r="F22" s="108"/>
      <c r="G22" s="103"/>
      <c r="H22" s="103"/>
    </row>
    <row r="23" ht="22.5" customHeight="1">
      <c r="A23" s="97"/>
      <c r="B23" s="97"/>
      <c r="C23" s="119"/>
      <c r="D23" s="78"/>
      <c r="E23" s="97"/>
      <c r="F23" s="108"/>
      <c r="G23" s="103"/>
      <c r="H23" s="97"/>
    </row>
    <row r="24" ht="22.5" customHeight="1">
      <c r="A24" s="146"/>
      <c r="B24" s="97"/>
      <c r="C24" s="119"/>
      <c r="D24" s="99"/>
      <c r="E24" s="97"/>
      <c r="F24" s="108"/>
      <c r="G24" s="103"/>
      <c r="H24" s="103"/>
    </row>
    <row r="25" ht="22.5" customHeight="1">
      <c r="A25" s="75"/>
      <c r="B25" s="75"/>
      <c r="C25" s="139"/>
      <c r="D25" s="78"/>
      <c r="E25" s="75"/>
      <c r="F25" s="81"/>
      <c r="G25" s="141"/>
      <c r="H25" s="141"/>
    </row>
    <row r="26" ht="22.5" customHeight="1">
      <c r="A26" s="97"/>
      <c r="B26" s="97"/>
      <c r="C26" s="119"/>
      <c r="D26" s="99"/>
      <c r="E26" s="97"/>
      <c r="F26" s="102"/>
      <c r="G26" s="142"/>
      <c r="H26" s="142"/>
    </row>
    <row r="27" ht="22.5" customHeight="1">
      <c r="A27" s="97"/>
      <c r="B27" s="97"/>
      <c r="C27" s="119"/>
      <c r="D27" s="99"/>
      <c r="E27" s="97"/>
      <c r="F27" s="102"/>
      <c r="G27" s="97"/>
      <c r="H27" s="142"/>
    </row>
    <row r="28" ht="22.5" customHeight="1">
      <c r="A28" s="97"/>
      <c r="B28" s="97"/>
      <c r="C28" s="119"/>
      <c r="D28" s="99"/>
      <c r="E28" s="97"/>
      <c r="F28" s="102"/>
      <c r="G28" s="142"/>
      <c r="H28" s="97"/>
    </row>
    <row r="29" ht="22.5" customHeight="1">
      <c r="A29" s="97"/>
      <c r="B29" s="97"/>
      <c r="C29" s="119"/>
      <c r="D29" s="99"/>
      <c r="E29" s="97"/>
      <c r="F29" s="108"/>
      <c r="G29" s="103"/>
      <c r="H29" s="97"/>
    </row>
    <row r="30" ht="22.5" customHeight="1">
      <c r="A30" s="149"/>
      <c r="B30" s="97"/>
      <c r="C30" s="119"/>
      <c r="D30" s="99"/>
      <c r="E30" s="97"/>
      <c r="F30" s="108"/>
      <c r="G30" s="103"/>
      <c r="H30" s="97"/>
    </row>
    <row r="31" ht="22.5" customHeight="1">
      <c r="A31" s="150"/>
      <c r="B31" s="97"/>
      <c r="C31" s="119"/>
      <c r="D31" s="99"/>
      <c r="E31" s="97"/>
      <c r="F31" s="108"/>
      <c r="G31" s="103"/>
      <c r="H31" s="97"/>
    </row>
    <row r="32">
      <c r="C32" s="151"/>
      <c r="D32" s="151"/>
    </row>
    <row r="33">
      <c r="C33" s="151"/>
      <c r="D33" s="151"/>
    </row>
    <row r="34">
      <c r="C34" s="151"/>
      <c r="D34" s="151"/>
    </row>
    <row r="35">
      <c r="C35" s="151"/>
      <c r="D35" s="151"/>
    </row>
    <row r="36">
      <c r="C36" s="151"/>
      <c r="D36" s="151"/>
    </row>
    <row r="37">
      <c r="C37" s="151"/>
      <c r="D37" s="151"/>
    </row>
    <row r="38">
      <c r="C38" s="151"/>
      <c r="D38" s="151"/>
    </row>
    <row r="39">
      <c r="C39" s="151"/>
      <c r="D39" s="151"/>
    </row>
    <row r="40">
      <c r="C40" s="151"/>
      <c r="D40" s="151"/>
    </row>
    <row r="41">
      <c r="C41" s="151"/>
      <c r="D41" s="151"/>
    </row>
    <row r="42">
      <c r="C42" s="151"/>
      <c r="D42" s="151"/>
    </row>
    <row r="43">
      <c r="C43" s="151"/>
      <c r="D43" s="151"/>
    </row>
    <row r="44">
      <c r="C44" s="151"/>
      <c r="D44" s="151"/>
    </row>
    <row r="45">
      <c r="C45" s="151"/>
      <c r="D45" s="151"/>
    </row>
    <row r="46">
      <c r="C46" s="151"/>
      <c r="D46" s="151"/>
    </row>
    <row r="47">
      <c r="C47" s="151"/>
      <c r="D47" s="151"/>
    </row>
    <row r="48">
      <c r="C48" s="151"/>
      <c r="D48" s="151"/>
    </row>
    <row r="49">
      <c r="C49" s="151"/>
      <c r="D49" s="151"/>
    </row>
    <row r="50">
      <c r="C50" s="151"/>
      <c r="D50" s="151"/>
    </row>
    <row r="51">
      <c r="C51" s="151"/>
      <c r="D51" s="151"/>
    </row>
    <row r="52">
      <c r="C52" s="151"/>
      <c r="D52" s="151"/>
    </row>
    <row r="53">
      <c r="C53" s="151"/>
      <c r="D53" s="151"/>
    </row>
    <row r="54">
      <c r="C54" s="151"/>
      <c r="D54" s="151"/>
    </row>
    <row r="55">
      <c r="C55" s="151"/>
      <c r="D55" s="151"/>
    </row>
    <row r="56">
      <c r="C56" s="151"/>
      <c r="D56" s="151"/>
    </row>
    <row r="57">
      <c r="C57" s="151"/>
      <c r="D57" s="151"/>
    </row>
    <row r="58">
      <c r="C58" s="151"/>
      <c r="D58" s="151"/>
    </row>
    <row r="59">
      <c r="C59" s="151"/>
      <c r="D59" s="151"/>
    </row>
    <row r="60">
      <c r="C60" s="151"/>
      <c r="D60" s="151"/>
    </row>
    <row r="61">
      <c r="C61" s="151"/>
      <c r="D61" s="151"/>
    </row>
    <row r="62">
      <c r="C62" s="151"/>
      <c r="D62" s="151"/>
    </row>
    <row r="63">
      <c r="C63" s="151"/>
      <c r="D63" s="151"/>
    </row>
    <row r="64">
      <c r="C64" s="151"/>
      <c r="D64" s="151"/>
    </row>
    <row r="65">
      <c r="C65" s="151"/>
      <c r="D65" s="151"/>
    </row>
    <row r="66">
      <c r="C66" s="151"/>
      <c r="D66" s="151"/>
    </row>
    <row r="67">
      <c r="C67" s="151"/>
      <c r="D67" s="151"/>
    </row>
    <row r="68">
      <c r="C68" s="151"/>
      <c r="D68" s="151"/>
    </row>
    <row r="69">
      <c r="C69" s="151"/>
      <c r="D69" s="151"/>
    </row>
    <row r="70">
      <c r="C70" s="151"/>
      <c r="D70" s="151"/>
    </row>
    <row r="71">
      <c r="C71" s="151"/>
      <c r="D71" s="151"/>
    </row>
    <row r="72">
      <c r="C72" s="151"/>
      <c r="D72" s="151"/>
    </row>
    <row r="73">
      <c r="C73" s="151"/>
      <c r="D73" s="151"/>
    </row>
    <row r="74">
      <c r="C74" s="151"/>
      <c r="D74" s="151"/>
    </row>
    <row r="75">
      <c r="C75" s="151"/>
      <c r="D75" s="151"/>
    </row>
    <row r="76">
      <c r="C76" s="151"/>
      <c r="D76" s="151"/>
    </row>
    <row r="77">
      <c r="C77" s="151"/>
      <c r="D77" s="151"/>
    </row>
    <row r="78">
      <c r="C78" s="151"/>
      <c r="D78" s="151"/>
    </row>
    <row r="79">
      <c r="C79" s="151"/>
      <c r="D79" s="151"/>
    </row>
    <row r="80">
      <c r="C80" s="151"/>
      <c r="D80" s="151"/>
    </row>
    <row r="81">
      <c r="C81" s="151"/>
      <c r="D81" s="151"/>
    </row>
    <row r="82">
      <c r="C82" s="151"/>
      <c r="D82" s="151"/>
    </row>
    <row r="83">
      <c r="C83" s="151"/>
      <c r="D83" s="151"/>
    </row>
    <row r="84">
      <c r="C84" s="151"/>
      <c r="D84" s="151"/>
    </row>
    <row r="85">
      <c r="C85" s="151"/>
      <c r="D85" s="151"/>
    </row>
    <row r="86">
      <c r="C86" s="151"/>
      <c r="D86" s="151"/>
    </row>
    <row r="87">
      <c r="C87" s="151"/>
      <c r="D87" s="151"/>
    </row>
    <row r="88">
      <c r="C88" s="151"/>
      <c r="D88" s="151"/>
    </row>
    <row r="89">
      <c r="C89" s="151"/>
      <c r="D89" s="151"/>
    </row>
    <row r="90">
      <c r="C90" s="151"/>
      <c r="D90" s="151"/>
    </row>
    <row r="91">
      <c r="C91" s="151"/>
      <c r="D91" s="151"/>
    </row>
    <row r="92">
      <c r="C92" s="151"/>
      <c r="D92" s="151"/>
    </row>
    <row r="93">
      <c r="C93" s="151"/>
      <c r="D93" s="151"/>
    </row>
    <row r="94">
      <c r="C94" s="151"/>
      <c r="D94" s="151"/>
    </row>
    <row r="95">
      <c r="C95" s="151"/>
      <c r="D95" s="151"/>
    </row>
    <row r="96">
      <c r="C96" s="151"/>
      <c r="D96" s="151"/>
    </row>
    <row r="97">
      <c r="C97" s="151"/>
      <c r="D97" s="151"/>
    </row>
    <row r="98">
      <c r="C98" s="151"/>
      <c r="D98" s="151"/>
    </row>
    <row r="99">
      <c r="C99" s="151"/>
      <c r="D99" s="151"/>
    </row>
    <row r="100">
      <c r="C100" s="151"/>
      <c r="D100" s="151"/>
    </row>
    <row r="101">
      <c r="C101" s="151"/>
      <c r="D101" s="151"/>
    </row>
    <row r="102">
      <c r="C102" s="151"/>
      <c r="D102" s="151"/>
    </row>
    <row r="103">
      <c r="C103" s="151"/>
      <c r="D103" s="151"/>
    </row>
    <row r="104">
      <c r="C104" s="151"/>
      <c r="D104" s="151"/>
    </row>
    <row r="105">
      <c r="C105" s="151"/>
      <c r="D105" s="151"/>
    </row>
    <row r="106">
      <c r="C106" s="151"/>
      <c r="D106" s="151"/>
    </row>
    <row r="107">
      <c r="C107" s="151"/>
      <c r="D107" s="151"/>
    </row>
    <row r="108">
      <c r="C108" s="151"/>
      <c r="D108" s="151"/>
    </row>
    <row r="109">
      <c r="C109" s="151"/>
      <c r="D109" s="151"/>
    </row>
    <row r="110">
      <c r="C110" s="151"/>
      <c r="D110" s="151"/>
    </row>
    <row r="111">
      <c r="C111" s="151"/>
      <c r="D111" s="151"/>
    </row>
    <row r="112">
      <c r="C112" s="151"/>
      <c r="D112" s="151"/>
    </row>
    <row r="113">
      <c r="C113" s="151"/>
      <c r="D113" s="151"/>
    </row>
    <row r="114">
      <c r="C114" s="151"/>
      <c r="D114" s="151"/>
    </row>
    <row r="115">
      <c r="C115" s="151"/>
      <c r="D115" s="151"/>
    </row>
    <row r="116">
      <c r="C116" s="151"/>
      <c r="D116" s="151"/>
    </row>
    <row r="117">
      <c r="C117" s="151"/>
      <c r="D117" s="151"/>
    </row>
    <row r="118">
      <c r="C118" s="151"/>
      <c r="D118" s="151"/>
    </row>
    <row r="119">
      <c r="C119" s="151"/>
      <c r="D119" s="151"/>
    </row>
    <row r="120">
      <c r="C120" s="151"/>
      <c r="D120" s="151"/>
    </row>
    <row r="121">
      <c r="C121" s="151"/>
      <c r="D121" s="151"/>
    </row>
    <row r="122">
      <c r="C122" s="151"/>
      <c r="D122" s="151"/>
    </row>
    <row r="123">
      <c r="C123" s="151"/>
      <c r="D123" s="151"/>
    </row>
    <row r="124">
      <c r="C124" s="151"/>
      <c r="D124" s="151"/>
    </row>
    <row r="125">
      <c r="C125" s="151"/>
      <c r="D125" s="151"/>
    </row>
    <row r="126">
      <c r="C126" s="151"/>
      <c r="D126" s="151"/>
    </row>
    <row r="127">
      <c r="C127" s="151"/>
      <c r="D127" s="151"/>
    </row>
    <row r="128">
      <c r="C128" s="151"/>
      <c r="D128" s="151"/>
    </row>
    <row r="129">
      <c r="C129" s="151"/>
      <c r="D129" s="151"/>
    </row>
    <row r="130">
      <c r="C130" s="151"/>
      <c r="D130" s="151"/>
    </row>
    <row r="131">
      <c r="C131" s="151"/>
      <c r="D131" s="151"/>
    </row>
    <row r="132">
      <c r="C132" s="151"/>
      <c r="D132" s="151"/>
    </row>
    <row r="133">
      <c r="C133" s="151"/>
      <c r="D133" s="151"/>
    </row>
    <row r="134">
      <c r="C134" s="151"/>
      <c r="D134" s="151"/>
    </row>
    <row r="135">
      <c r="C135" s="151"/>
      <c r="D135" s="151"/>
    </row>
    <row r="136">
      <c r="C136" s="151"/>
      <c r="D136" s="151"/>
    </row>
    <row r="137">
      <c r="C137" s="151"/>
      <c r="D137" s="151"/>
    </row>
    <row r="138">
      <c r="C138" s="151"/>
      <c r="D138" s="151"/>
    </row>
    <row r="139">
      <c r="C139" s="151"/>
      <c r="D139" s="151"/>
    </row>
    <row r="140">
      <c r="C140" s="151"/>
      <c r="D140" s="151"/>
    </row>
    <row r="141">
      <c r="C141" s="151"/>
      <c r="D141" s="151"/>
    </row>
    <row r="142">
      <c r="C142" s="151"/>
      <c r="D142" s="151"/>
    </row>
    <row r="143">
      <c r="C143" s="151"/>
      <c r="D143" s="151"/>
    </row>
    <row r="144">
      <c r="C144" s="151"/>
      <c r="D144" s="151"/>
    </row>
    <row r="145">
      <c r="C145" s="151"/>
      <c r="D145" s="151"/>
    </row>
    <row r="146">
      <c r="C146" s="151"/>
      <c r="D146" s="151"/>
    </row>
    <row r="147">
      <c r="C147" s="151"/>
      <c r="D147" s="151"/>
    </row>
    <row r="148">
      <c r="C148" s="151"/>
      <c r="D148" s="151"/>
    </row>
    <row r="149">
      <c r="C149" s="151"/>
      <c r="D149" s="151"/>
    </row>
    <row r="150">
      <c r="C150" s="151"/>
      <c r="D150" s="151"/>
    </row>
    <row r="151">
      <c r="C151" s="151"/>
      <c r="D151" s="151"/>
    </row>
    <row r="152">
      <c r="C152" s="151"/>
      <c r="D152" s="151"/>
    </row>
    <row r="153">
      <c r="C153" s="151"/>
      <c r="D153" s="151"/>
    </row>
    <row r="154">
      <c r="C154" s="151"/>
      <c r="D154" s="151"/>
    </row>
    <row r="155">
      <c r="C155" s="151"/>
      <c r="D155" s="151"/>
    </row>
    <row r="156">
      <c r="C156" s="151"/>
      <c r="D156" s="151"/>
    </row>
    <row r="157">
      <c r="C157" s="151"/>
      <c r="D157" s="151"/>
    </row>
    <row r="158">
      <c r="C158" s="151"/>
      <c r="D158" s="151"/>
    </row>
    <row r="159">
      <c r="C159" s="151"/>
      <c r="D159" s="151"/>
    </row>
    <row r="160">
      <c r="C160" s="151"/>
      <c r="D160" s="151"/>
    </row>
    <row r="161">
      <c r="C161" s="151"/>
      <c r="D161" s="151"/>
    </row>
    <row r="162">
      <c r="C162" s="151"/>
      <c r="D162" s="151"/>
    </row>
    <row r="163">
      <c r="C163" s="151"/>
      <c r="D163" s="151"/>
    </row>
    <row r="164">
      <c r="C164" s="151"/>
      <c r="D164" s="151"/>
    </row>
    <row r="165">
      <c r="C165" s="151"/>
      <c r="D165" s="151"/>
    </row>
    <row r="166">
      <c r="C166" s="151"/>
      <c r="D166" s="151"/>
    </row>
    <row r="167">
      <c r="C167" s="151"/>
      <c r="D167" s="151"/>
    </row>
    <row r="168">
      <c r="C168" s="151"/>
      <c r="D168" s="151"/>
    </row>
    <row r="169">
      <c r="C169" s="151"/>
      <c r="D169" s="151"/>
    </row>
    <row r="170">
      <c r="C170" s="151"/>
      <c r="D170" s="151"/>
    </row>
    <row r="171">
      <c r="C171" s="151"/>
      <c r="D171" s="151"/>
    </row>
    <row r="172">
      <c r="C172" s="151"/>
      <c r="D172" s="151"/>
    </row>
    <row r="173">
      <c r="C173" s="151"/>
      <c r="D173" s="151"/>
    </row>
    <row r="174">
      <c r="C174" s="151"/>
      <c r="D174" s="151"/>
    </row>
    <row r="175">
      <c r="C175" s="151"/>
      <c r="D175" s="151"/>
    </row>
    <row r="176">
      <c r="C176" s="151"/>
      <c r="D176" s="151"/>
    </row>
    <row r="177">
      <c r="C177" s="151"/>
      <c r="D177" s="151"/>
    </row>
    <row r="178">
      <c r="C178" s="151"/>
      <c r="D178" s="151"/>
    </row>
    <row r="179">
      <c r="C179" s="151"/>
      <c r="D179" s="151"/>
    </row>
    <row r="180">
      <c r="C180" s="151"/>
      <c r="D180" s="151"/>
    </row>
    <row r="181">
      <c r="C181" s="151"/>
      <c r="D181" s="151"/>
    </row>
    <row r="182">
      <c r="C182" s="151"/>
      <c r="D182" s="151"/>
    </row>
    <row r="183">
      <c r="C183" s="151"/>
      <c r="D183" s="151"/>
    </row>
    <row r="184">
      <c r="C184" s="151"/>
      <c r="D184" s="151"/>
    </row>
    <row r="185">
      <c r="C185" s="151"/>
      <c r="D185" s="151"/>
    </row>
    <row r="186">
      <c r="C186" s="151"/>
      <c r="D186" s="151"/>
    </row>
    <row r="187">
      <c r="C187" s="151"/>
      <c r="D187" s="151"/>
    </row>
    <row r="188">
      <c r="C188" s="151"/>
      <c r="D188" s="151"/>
    </row>
    <row r="189">
      <c r="C189" s="151"/>
      <c r="D189" s="151"/>
    </row>
    <row r="190">
      <c r="C190" s="151"/>
      <c r="D190" s="151"/>
    </row>
    <row r="191">
      <c r="C191" s="151"/>
      <c r="D191" s="151"/>
    </row>
    <row r="192">
      <c r="C192" s="151"/>
      <c r="D192" s="151"/>
    </row>
    <row r="193">
      <c r="C193" s="151"/>
      <c r="D193" s="151"/>
    </row>
    <row r="194">
      <c r="C194" s="151"/>
      <c r="D194" s="151"/>
    </row>
    <row r="195">
      <c r="C195" s="151"/>
      <c r="D195" s="151"/>
    </row>
    <row r="196">
      <c r="C196" s="151"/>
      <c r="D196" s="151"/>
    </row>
    <row r="197">
      <c r="C197" s="151"/>
      <c r="D197" s="151"/>
    </row>
    <row r="198">
      <c r="C198" s="151"/>
      <c r="D198" s="151"/>
    </row>
    <row r="199">
      <c r="C199" s="151"/>
      <c r="D199" s="151"/>
    </row>
    <row r="200">
      <c r="C200" s="151"/>
      <c r="D200" s="151"/>
    </row>
    <row r="201">
      <c r="C201" s="151"/>
      <c r="D201" s="151"/>
    </row>
    <row r="202">
      <c r="C202" s="151"/>
      <c r="D202" s="151"/>
    </row>
    <row r="203">
      <c r="C203" s="151"/>
      <c r="D203" s="151"/>
    </row>
    <row r="204">
      <c r="C204" s="151"/>
      <c r="D204" s="151"/>
    </row>
    <row r="205">
      <c r="C205" s="151"/>
      <c r="D205" s="151"/>
    </row>
    <row r="206">
      <c r="C206" s="151"/>
      <c r="D206" s="151"/>
    </row>
    <row r="207">
      <c r="C207" s="151"/>
      <c r="D207" s="151"/>
    </row>
    <row r="208">
      <c r="C208" s="151"/>
      <c r="D208" s="151"/>
    </row>
    <row r="209">
      <c r="C209" s="151"/>
      <c r="D209" s="151"/>
    </row>
    <row r="210">
      <c r="C210" s="151"/>
      <c r="D210" s="151"/>
    </row>
    <row r="211">
      <c r="C211" s="151"/>
      <c r="D211" s="151"/>
    </row>
    <row r="212">
      <c r="C212" s="151"/>
      <c r="D212" s="151"/>
    </row>
    <row r="213">
      <c r="C213" s="151"/>
      <c r="D213" s="151"/>
    </row>
    <row r="214">
      <c r="C214" s="151"/>
      <c r="D214" s="151"/>
    </row>
    <row r="215">
      <c r="C215" s="151"/>
      <c r="D215" s="151"/>
    </row>
    <row r="216">
      <c r="C216" s="151"/>
      <c r="D216" s="151"/>
    </row>
    <row r="217">
      <c r="C217" s="151"/>
      <c r="D217" s="151"/>
    </row>
    <row r="218">
      <c r="C218" s="151"/>
      <c r="D218" s="151"/>
    </row>
    <row r="219">
      <c r="C219" s="151"/>
      <c r="D219" s="151"/>
    </row>
    <row r="220">
      <c r="C220" s="151"/>
      <c r="D220" s="151"/>
    </row>
    <row r="221">
      <c r="C221" s="151"/>
      <c r="D221" s="151"/>
    </row>
    <row r="222">
      <c r="C222" s="151"/>
      <c r="D222" s="151"/>
    </row>
    <row r="223">
      <c r="C223" s="151"/>
      <c r="D223" s="151"/>
    </row>
    <row r="224">
      <c r="C224" s="151"/>
      <c r="D224" s="151"/>
    </row>
    <row r="225">
      <c r="C225" s="151"/>
      <c r="D225" s="151"/>
    </row>
    <row r="226">
      <c r="C226" s="151"/>
      <c r="D226" s="151"/>
    </row>
    <row r="227">
      <c r="C227" s="151"/>
      <c r="D227" s="151"/>
    </row>
    <row r="228">
      <c r="C228" s="151"/>
      <c r="D228" s="151"/>
    </row>
    <row r="229">
      <c r="C229" s="151"/>
      <c r="D229" s="151"/>
    </row>
    <row r="230">
      <c r="C230" s="151"/>
      <c r="D230" s="151"/>
    </row>
    <row r="231">
      <c r="C231" s="151"/>
      <c r="D231" s="151"/>
    </row>
    <row r="232">
      <c r="C232" s="151"/>
      <c r="D232" s="151"/>
    </row>
    <row r="233">
      <c r="C233" s="151"/>
      <c r="D233" s="151"/>
    </row>
    <row r="234">
      <c r="C234" s="151"/>
      <c r="D234" s="151"/>
    </row>
    <row r="235">
      <c r="C235" s="151"/>
      <c r="D235" s="151"/>
    </row>
    <row r="236">
      <c r="C236" s="151"/>
      <c r="D236" s="151"/>
    </row>
    <row r="237">
      <c r="C237" s="151"/>
      <c r="D237" s="151"/>
    </row>
    <row r="238">
      <c r="C238" s="151"/>
      <c r="D238" s="151"/>
    </row>
    <row r="239">
      <c r="C239" s="151"/>
      <c r="D239" s="151"/>
    </row>
    <row r="240">
      <c r="C240" s="151"/>
      <c r="D240" s="151"/>
    </row>
    <row r="241">
      <c r="C241" s="151"/>
      <c r="D241" s="151"/>
    </row>
    <row r="242">
      <c r="C242" s="151"/>
      <c r="D242" s="151"/>
    </row>
    <row r="243">
      <c r="C243" s="151"/>
      <c r="D243" s="151"/>
    </row>
    <row r="244">
      <c r="C244" s="151"/>
      <c r="D244" s="151"/>
    </row>
    <row r="245">
      <c r="C245" s="151"/>
      <c r="D245" s="151"/>
    </row>
    <row r="246">
      <c r="C246" s="151"/>
      <c r="D246" s="151"/>
    </row>
    <row r="247">
      <c r="C247" s="151"/>
      <c r="D247" s="151"/>
    </row>
    <row r="248">
      <c r="C248" s="151"/>
      <c r="D248" s="151"/>
    </row>
    <row r="249">
      <c r="C249" s="151"/>
      <c r="D249" s="151"/>
    </row>
    <row r="250">
      <c r="C250" s="151"/>
      <c r="D250" s="151"/>
    </row>
    <row r="251">
      <c r="C251" s="151"/>
      <c r="D251" s="151"/>
    </row>
    <row r="252">
      <c r="C252" s="151"/>
      <c r="D252" s="151"/>
    </row>
    <row r="253">
      <c r="C253" s="151"/>
      <c r="D253" s="151"/>
    </row>
    <row r="254">
      <c r="C254" s="151"/>
      <c r="D254" s="151"/>
    </row>
    <row r="255">
      <c r="C255" s="151"/>
      <c r="D255" s="151"/>
    </row>
    <row r="256">
      <c r="C256" s="151"/>
      <c r="D256" s="151"/>
    </row>
    <row r="257">
      <c r="C257" s="151"/>
      <c r="D257" s="151"/>
    </row>
    <row r="258">
      <c r="C258" s="151"/>
      <c r="D258" s="151"/>
    </row>
    <row r="259">
      <c r="C259" s="151"/>
      <c r="D259" s="151"/>
    </row>
    <row r="260">
      <c r="C260" s="151"/>
      <c r="D260" s="151"/>
    </row>
    <row r="261">
      <c r="C261" s="151"/>
      <c r="D261" s="151"/>
    </row>
    <row r="262">
      <c r="C262" s="151"/>
      <c r="D262" s="151"/>
    </row>
    <row r="263">
      <c r="C263" s="151"/>
      <c r="D263" s="151"/>
    </row>
    <row r="264">
      <c r="C264" s="151"/>
      <c r="D264" s="151"/>
    </row>
    <row r="265">
      <c r="C265" s="151"/>
      <c r="D265" s="151"/>
    </row>
    <row r="266">
      <c r="C266" s="151"/>
      <c r="D266" s="151"/>
    </row>
    <row r="267">
      <c r="C267" s="151"/>
      <c r="D267" s="151"/>
    </row>
    <row r="268">
      <c r="C268" s="151"/>
      <c r="D268" s="151"/>
    </row>
    <row r="269">
      <c r="C269" s="151"/>
      <c r="D269" s="151"/>
    </row>
    <row r="270">
      <c r="C270" s="151"/>
      <c r="D270" s="151"/>
    </row>
    <row r="271">
      <c r="C271" s="151"/>
      <c r="D271" s="151"/>
    </row>
    <row r="272">
      <c r="C272" s="151"/>
      <c r="D272" s="151"/>
    </row>
    <row r="273">
      <c r="C273" s="151"/>
      <c r="D273" s="151"/>
    </row>
    <row r="274">
      <c r="C274" s="151"/>
      <c r="D274" s="151"/>
    </row>
    <row r="275">
      <c r="C275" s="151"/>
      <c r="D275" s="151"/>
    </row>
    <row r="276">
      <c r="C276" s="151"/>
      <c r="D276" s="151"/>
    </row>
    <row r="277">
      <c r="C277" s="151"/>
      <c r="D277" s="151"/>
    </row>
    <row r="278">
      <c r="C278" s="151"/>
      <c r="D278" s="151"/>
    </row>
    <row r="279">
      <c r="C279" s="151"/>
      <c r="D279" s="151"/>
    </row>
    <row r="280">
      <c r="C280" s="151"/>
      <c r="D280" s="151"/>
    </row>
    <row r="281">
      <c r="C281" s="151"/>
      <c r="D281" s="151"/>
    </row>
    <row r="282">
      <c r="C282" s="151"/>
      <c r="D282" s="151"/>
    </row>
    <row r="283">
      <c r="C283" s="151"/>
      <c r="D283" s="151"/>
    </row>
    <row r="284">
      <c r="C284" s="151"/>
      <c r="D284" s="151"/>
    </row>
    <row r="285">
      <c r="C285" s="151"/>
      <c r="D285" s="151"/>
    </row>
    <row r="286">
      <c r="C286" s="151"/>
      <c r="D286" s="151"/>
    </row>
    <row r="287">
      <c r="C287" s="151"/>
      <c r="D287" s="151"/>
    </row>
    <row r="288">
      <c r="C288" s="151"/>
      <c r="D288" s="151"/>
    </row>
    <row r="289">
      <c r="C289" s="151"/>
      <c r="D289" s="151"/>
    </row>
    <row r="290">
      <c r="C290" s="151"/>
      <c r="D290" s="151"/>
    </row>
    <row r="291">
      <c r="C291" s="151"/>
      <c r="D291" s="151"/>
    </row>
    <row r="292">
      <c r="C292" s="151"/>
      <c r="D292" s="151"/>
    </row>
    <row r="293">
      <c r="C293" s="151"/>
      <c r="D293" s="151"/>
    </row>
    <row r="294">
      <c r="C294" s="151"/>
      <c r="D294" s="151"/>
    </row>
    <row r="295">
      <c r="C295" s="151"/>
      <c r="D295" s="151"/>
    </row>
    <row r="296">
      <c r="C296" s="151"/>
      <c r="D296" s="151"/>
    </row>
    <row r="297">
      <c r="C297" s="151"/>
      <c r="D297" s="151"/>
    </row>
    <row r="298">
      <c r="C298" s="151"/>
      <c r="D298" s="151"/>
    </row>
    <row r="299">
      <c r="C299" s="151"/>
      <c r="D299" s="151"/>
    </row>
    <row r="300">
      <c r="C300" s="151"/>
      <c r="D300" s="151"/>
    </row>
    <row r="301">
      <c r="C301" s="151"/>
      <c r="D301" s="151"/>
    </row>
    <row r="302">
      <c r="C302" s="151"/>
      <c r="D302" s="151"/>
    </row>
    <row r="303">
      <c r="C303" s="151"/>
      <c r="D303" s="151"/>
    </row>
    <row r="304">
      <c r="C304" s="151"/>
      <c r="D304" s="151"/>
    </row>
    <row r="305">
      <c r="C305" s="151"/>
      <c r="D305" s="151"/>
    </row>
    <row r="306">
      <c r="C306" s="151"/>
      <c r="D306" s="151"/>
    </row>
    <row r="307">
      <c r="C307" s="151"/>
      <c r="D307" s="151"/>
    </row>
    <row r="308">
      <c r="C308" s="151"/>
      <c r="D308" s="151"/>
    </row>
    <row r="309">
      <c r="C309" s="151"/>
      <c r="D309" s="151"/>
    </row>
    <row r="310">
      <c r="C310" s="151"/>
      <c r="D310" s="151"/>
    </row>
    <row r="311">
      <c r="C311" s="151"/>
      <c r="D311" s="151"/>
    </row>
    <row r="312">
      <c r="C312" s="151"/>
      <c r="D312" s="151"/>
    </row>
    <row r="313">
      <c r="C313" s="151"/>
      <c r="D313" s="151"/>
    </row>
    <row r="314">
      <c r="C314" s="151"/>
      <c r="D314" s="151"/>
    </row>
    <row r="315">
      <c r="C315" s="151"/>
      <c r="D315" s="151"/>
    </row>
    <row r="316">
      <c r="C316" s="151"/>
      <c r="D316" s="151"/>
    </row>
    <row r="317">
      <c r="C317" s="151"/>
      <c r="D317" s="151"/>
    </row>
    <row r="318">
      <c r="C318" s="151"/>
      <c r="D318" s="151"/>
    </row>
    <row r="319">
      <c r="C319" s="151"/>
      <c r="D319" s="151"/>
    </row>
    <row r="320">
      <c r="C320" s="151"/>
      <c r="D320" s="151"/>
    </row>
    <row r="321">
      <c r="C321" s="151"/>
      <c r="D321" s="151"/>
    </row>
    <row r="322">
      <c r="C322" s="151"/>
      <c r="D322" s="151"/>
    </row>
    <row r="323">
      <c r="C323" s="151"/>
      <c r="D323" s="151"/>
    </row>
    <row r="324">
      <c r="C324" s="151"/>
      <c r="D324" s="151"/>
    </row>
    <row r="325">
      <c r="C325" s="151"/>
      <c r="D325" s="151"/>
    </row>
    <row r="326">
      <c r="C326" s="151"/>
      <c r="D326" s="151"/>
    </row>
    <row r="327">
      <c r="C327" s="151"/>
      <c r="D327" s="151"/>
    </row>
    <row r="328">
      <c r="C328" s="151"/>
      <c r="D328" s="151"/>
    </row>
    <row r="329">
      <c r="C329" s="151"/>
      <c r="D329" s="151"/>
    </row>
    <row r="330">
      <c r="C330" s="151"/>
      <c r="D330" s="151"/>
    </row>
    <row r="331">
      <c r="C331" s="151"/>
      <c r="D331" s="151"/>
    </row>
    <row r="332">
      <c r="C332" s="151"/>
      <c r="D332" s="151"/>
    </row>
    <row r="333">
      <c r="C333" s="151"/>
      <c r="D333" s="151"/>
    </row>
    <row r="334">
      <c r="C334" s="151"/>
      <c r="D334" s="151"/>
    </row>
    <row r="335">
      <c r="C335" s="151"/>
      <c r="D335" s="151"/>
    </row>
    <row r="336">
      <c r="C336" s="151"/>
      <c r="D336" s="151"/>
    </row>
    <row r="337">
      <c r="C337" s="151"/>
      <c r="D337" s="151"/>
    </row>
    <row r="338">
      <c r="C338" s="151"/>
      <c r="D338" s="151"/>
    </row>
    <row r="339">
      <c r="C339" s="151"/>
      <c r="D339" s="151"/>
    </row>
    <row r="340">
      <c r="C340" s="151"/>
      <c r="D340" s="151"/>
    </row>
    <row r="341">
      <c r="C341" s="151"/>
      <c r="D341" s="151"/>
    </row>
    <row r="342">
      <c r="C342" s="151"/>
      <c r="D342" s="151"/>
    </row>
    <row r="343">
      <c r="C343" s="151"/>
      <c r="D343" s="151"/>
    </row>
    <row r="344">
      <c r="C344" s="151"/>
      <c r="D344" s="151"/>
    </row>
    <row r="345">
      <c r="C345" s="151"/>
      <c r="D345" s="151"/>
    </row>
    <row r="346">
      <c r="C346" s="151"/>
      <c r="D346" s="151"/>
    </row>
    <row r="347">
      <c r="C347" s="151"/>
      <c r="D347" s="151"/>
    </row>
    <row r="348">
      <c r="C348" s="151"/>
      <c r="D348" s="151"/>
    </row>
    <row r="349">
      <c r="C349" s="151"/>
      <c r="D349" s="151"/>
    </row>
    <row r="350">
      <c r="C350" s="151"/>
      <c r="D350" s="151"/>
    </row>
    <row r="351">
      <c r="C351" s="151"/>
      <c r="D351" s="151"/>
    </row>
    <row r="352">
      <c r="C352" s="151"/>
      <c r="D352" s="151"/>
    </row>
    <row r="353">
      <c r="C353" s="151"/>
      <c r="D353" s="151"/>
    </row>
    <row r="354">
      <c r="C354" s="151"/>
      <c r="D354" s="151"/>
    </row>
    <row r="355">
      <c r="C355" s="151"/>
      <c r="D355" s="151"/>
    </row>
    <row r="356">
      <c r="C356" s="151"/>
      <c r="D356" s="151"/>
    </row>
    <row r="357">
      <c r="C357" s="151"/>
      <c r="D357" s="151"/>
    </row>
    <row r="358">
      <c r="C358" s="151"/>
      <c r="D358" s="151"/>
    </row>
    <row r="359">
      <c r="C359" s="151"/>
      <c r="D359" s="151"/>
    </row>
    <row r="360">
      <c r="C360" s="151"/>
      <c r="D360" s="151"/>
    </row>
    <row r="361">
      <c r="C361" s="151"/>
      <c r="D361" s="151"/>
    </row>
    <row r="362">
      <c r="C362" s="151"/>
      <c r="D362" s="151"/>
    </row>
    <row r="363">
      <c r="C363" s="151"/>
      <c r="D363" s="151"/>
    </row>
    <row r="364">
      <c r="C364" s="151"/>
      <c r="D364" s="151"/>
    </row>
    <row r="365">
      <c r="C365" s="151"/>
      <c r="D365" s="151"/>
    </row>
    <row r="366">
      <c r="C366" s="151"/>
      <c r="D366" s="151"/>
    </row>
    <row r="367">
      <c r="C367" s="151"/>
      <c r="D367" s="151"/>
    </row>
    <row r="368">
      <c r="C368" s="151"/>
      <c r="D368" s="151"/>
    </row>
    <row r="369">
      <c r="C369" s="151"/>
      <c r="D369" s="151"/>
    </row>
    <row r="370">
      <c r="C370" s="151"/>
      <c r="D370" s="151"/>
    </row>
    <row r="371">
      <c r="C371" s="151"/>
      <c r="D371" s="151"/>
    </row>
    <row r="372">
      <c r="C372" s="151"/>
      <c r="D372" s="151"/>
    </row>
    <row r="373">
      <c r="C373" s="151"/>
      <c r="D373" s="151"/>
    </row>
    <row r="374">
      <c r="C374" s="151"/>
      <c r="D374" s="151"/>
    </row>
    <row r="375">
      <c r="C375" s="151"/>
      <c r="D375" s="151"/>
    </row>
    <row r="376">
      <c r="C376" s="151"/>
      <c r="D376" s="151"/>
    </row>
    <row r="377">
      <c r="C377" s="151"/>
      <c r="D377" s="151"/>
    </row>
    <row r="378">
      <c r="C378" s="151"/>
      <c r="D378" s="151"/>
    </row>
    <row r="379">
      <c r="C379" s="151"/>
      <c r="D379" s="151"/>
    </row>
    <row r="380">
      <c r="C380" s="151"/>
      <c r="D380" s="151"/>
    </row>
    <row r="381">
      <c r="C381" s="151"/>
      <c r="D381" s="151"/>
    </row>
    <row r="382">
      <c r="C382" s="151"/>
      <c r="D382" s="151"/>
    </row>
    <row r="383">
      <c r="C383" s="151"/>
      <c r="D383" s="151"/>
    </row>
    <row r="384">
      <c r="C384" s="151"/>
      <c r="D384" s="151"/>
    </row>
    <row r="385">
      <c r="C385" s="151"/>
      <c r="D385" s="151"/>
    </row>
    <row r="386">
      <c r="C386" s="151"/>
      <c r="D386" s="151"/>
    </row>
    <row r="387">
      <c r="C387" s="151"/>
      <c r="D387" s="151"/>
    </row>
    <row r="388">
      <c r="C388" s="151"/>
      <c r="D388" s="151"/>
    </row>
    <row r="389">
      <c r="C389" s="151"/>
      <c r="D389" s="151"/>
    </row>
    <row r="390">
      <c r="C390" s="151"/>
      <c r="D390" s="151"/>
    </row>
    <row r="391">
      <c r="C391" s="151"/>
      <c r="D391" s="151"/>
    </row>
    <row r="392">
      <c r="C392" s="151"/>
      <c r="D392" s="151"/>
    </row>
    <row r="393">
      <c r="C393" s="151"/>
      <c r="D393" s="151"/>
    </row>
    <row r="394">
      <c r="C394" s="151"/>
      <c r="D394" s="151"/>
    </row>
    <row r="395">
      <c r="C395" s="151"/>
      <c r="D395" s="151"/>
    </row>
    <row r="396">
      <c r="C396" s="151"/>
      <c r="D396" s="151"/>
    </row>
    <row r="397">
      <c r="C397" s="151"/>
      <c r="D397" s="151"/>
    </row>
    <row r="398">
      <c r="C398" s="151"/>
      <c r="D398" s="151"/>
    </row>
    <row r="399">
      <c r="C399" s="151"/>
      <c r="D399" s="151"/>
    </row>
    <row r="400">
      <c r="C400" s="151"/>
      <c r="D400" s="151"/>
    </row>
    <row r="401">
      <c r="C401" s="151"/>
      <c r="D401" s="151"/>
    </row>
    <row r="402">
      <c r="C402" s="151"/>
      <c r="D402" s="151"/>
    </row>
    <row r="403">
      <c r="C403" s="151"/>
      <c r="D403" s="151"/>
    </row>
    <row r="404">
      <c r="C404" s="151"/>
      <c r="D404" s="151"/>
    </row>
    <row r="405">
      <c r="C405" s="151"/>
      <c r="D405" s="151"/>
    </row>
    <row r="406">
      <c r="C406" s="151"/>
      <c r="D406" s="151"/>
    </row>
    <row r="407">
      <c r="C407" s="151"/>
      <c r="D407" s="151"/>
    </row>
    <row r="408">
      <c r="C408" s="151"/>
      <c r="D408" s="151"/>
    </row>
    <row r="409">
      <c r="C409" s="151"/>
      <c r="D409" s="151"/>
    </row>
    <row r="410">
      <c r="C410" s="151"/>
      <c r="D410" s="151"/>
    </row>
    <row r="411">
      <c r="C411" s="151"/>
      <c r="D411" s="151"/>
    </row>
    <row r="412">
      <c r="C412" s="151"/>
      <c r="D412" s="151"/>
    </row>
    <row r="413">
      <c r="C413" s="151"/>
      <c r="D413" s="151"/>
    </row>
    <row r="414">
      <c r="C414" s="151"/>
      <c r="D414" s="151"/>
    </row>
    <row r="415">
      <c r="C415" s="151"/>
      <c r="D415" s="151"/>
    </row>
    <row r="416">
      <c r="C416" s="151"/>
      <c r="D416" s="151"/>
    </row>
    <row r="417">
      <c r="C417" s="151"/>
      <c r="D417" s="151"/>
    </row>
    <row r="418">
      <c r="C418" s="151"/>
      <c r="D418" s="151"/>
    </row>
    <row r="419">
      <c r="C419" s="151"/>
      <c r="D419" s="151"/>
    </row>
    <row r="420">
      <c r="C420" s="151"/>
      <c r="D420" s="151"/>
    </row>
    <row r="421">
      <c r="C421" s="151"/>
      <c r="D421" s="151"/>
    </row>
    <row r="422">
      <c r="C422" s="151"/>
      <c r="D422" s="151"/>
    </row>
    <row r="423">
      <c r="C423" s="151"/>
      <c r="D423" s="151"/>
    </row>
    <row r="424">
      <c r="C424" s="151"/>
      <c r="D424" s="151"/>
    </row>
    <row r="425">
      <c r="C425" s="151"/>
      <c r="D425" s="151"/>
    </row>
    <row r="426">
      <c r="C426" s="151"/>
      <c r="D426" s="151"/>
    </row>
    <row r="427">
      <c r="C427" s="151"/>
      <c r="D427" s="151"/>
    </row>
    <row r="428">
      <c r="C428" s="151"/>
      <c r="D428" s="151"/>
    </row>
    <row r="429">
      <c r="C429" s="151"/>
      <c r="D429" s="151"/>
    </row>
    <row r="430">
      <c r="C430" s="151"/>
      <c r="D430" s="151"/>
    </row>
    <row r="431">
      <c r="C431" s="151"/>
      <c r="D431" s="151"/>
    </row>
    <row r="432">
      <c r="C432" s="151"/>
      <c r="D432" s="151"/>
    </row>
    <row r="433">
      <c r="C433" s="151"/>
      <c r="D433" s="151"/>
    </row>
    <row r="434">
      <c r="C434" s="151"/>
      <c r="D434" s="151"/>
    </row>
    <row r="435">
      <c r="C435" s="151"/>
      <c r="D435" s="151"/>
    </row>
    <row r="436">
      <c r="C436" s="151"/>
      <c r="D436" s="151"/>
    </row>
    <row r="437">
      <c r="C437" s="151"/>
      <c r="D437" s="151"/>
    </row>
    <row r="438">
      <c r="C438" s="151"/>
      <c r="D438" s="151"/>
    </row>
    <row r="439">
      <c r="C439" s="151"/>
      <c r="D439" s="151"/>
    </row>
    <row r="440">
      <c r="C440" s="151"/>
      <c r="D440" s="151"/>
    </row>
    <row r="441">
      <c r="C441" s="151"/>
      <c r="D441" s="151"/>
    </row>
    <row r="442">
      <c r="C442" s="151"/>
      <c r="D442" s="151"/>
    </row>
    <row r="443">
      <c r="C443" s="151"/>
      <c r="D443" s="151"/>
    </row>
    <row r="444">
      <c r="C444" s="151"/>
      <c r="D444" s="151"/>
    </row>
    <row r="445">
      <c r="C445" s="151"/>
      <c r="D445" s="151"/>
    </row>
    <row r="446">
      <c r="C446" s="151"/>
      <c r="D446" s="151"/>
    </row>
    <row r="447">
      <c r="C447" s="151"/>
      <c r="D447" s="151"/>
    </row>
    <row r="448">
      <c r="C448" s="151"/>
      <c r="D448" s="151"/>
    </row>
    <row r="449">
      <c r="C449" s="151"/>
      <c r="D449" s="151"/>
    </row>
    <row r="450">
      <c r="C450" s="151"/>
      <c r="D450" s="151"/>
    </row>
    <row r="451">
      <c r="C451" s="151"/>
      <c r="D451" s="151"/>
    </row>
    <row r="452">
      <c r="C452" s="151"/>
      <c r="D452" s="151"/>
    </row>
    <row r="453">
      <c r="C453" s="151"/>
      <c r="D453" s="151"/>
    </row>
    <row r="454">
      <c r="C454" s="151"/>
      <c r="D454" s="151"/>
    </row>
    <row r="455">
      <c r="C455" s="151"/>
      <c r="D455" s="151"/>
    </row>
    <row r="456">
      <c r="C456" s="151"/>
      <c r="D456" s="151"/>
    </row>
    <row r="457">
      <c r="C457" s="151"/>
      <c r="D457" s="151"/>
    </row>
    <row r="458">
      <c r="C458" s="151"/>
      <c r="D458" s="151"/>
    </row>
    <row r="459">
      <c r="C459" s="151"/>
      <c r="D459" s="151"/>
    </row>
    <row r="460">
      <c r="C460" s="151"/>
      <c r="D460" s="151"/>
    </row>
    <row r="461">
      <c r="C461" s="151"/>
      <c r="D461" s="151"/>
    </row>
    <row r="462">
      <c r="C462" s="151"/>
      <c r="D462" s="151"/>
    </row>
    <row r="463">
      <c r="C463" s="151"/>
      <c r="D463" s="151"/>
    </row>
    <row r="464">
      <c r="C464" s="151"/>
      <c r="D464" s="151"/>
    </row>
    <row r="465">
      <c r="C465" s="151"/>
      <c r="D465" s="151"/>
    </row>
    <row r="466">
      <c r="C466" s="151"/>
      <c r="D466" s="151"/>
    </row>
    <row r="467">
      <c r="C467" s="151"/>
      <c r="D467" s="151"/>
    </row>
    <row r="468">
      <c r="C468" s="151"/>
      <c r="D468" s="151"/>
    </row>
    <row r="469">
      <c r="C469" s="151"/>
      <c r="D469" s="151"/>
    </row>
    <row r="470">
      <c r="C470" s="151"/>
      <c r="D470" s="151"/>
    </row>
    <row r="471">
      <c r="C471" s="151"/>
      <c r="D471" s="151"/>
    </row>
    <row r="472">
      <c r="C472" s="151"/>
      <c r="D472" s="151"/>
    </row>
    <row r="473">
      <c r="C473" s="151"/>
      <c r="D473" s="151"/>
    </row>
    <row r="474">
      <c r="C474" s="151"/>
      <c r="D474" s="151"/>
    </row>
    <row r="475">
      <c r="C475" s="151"/>
      <c r="D475" s="151"/>
    </row>
    <row r="476">
      <c r="C476" s="151"/>
      <c r="D476" s="151"/>
    </row>
    <row r="477">
      <c r="C477" s="151"/>
      <c r="D477" s="151"/>
    </row>
    <row r="478">
      <c r="C478" s="151"/>
      <c r="D478" s="151"/>
    </row>
    <row r="479">
      <c r="C479" s="151"/>
      <c r="D479" s="151"/>
    </row>
    <row r="480">
      <c r="C480" s="151"/>
      <c r="D480" s="151"/>
    </row>
    <row r="481">
      <c r="C481" s="151"/>
      <c r="D481" s="151"/>
    </row>
    <row r="482">
      <c r="C482" s="151"/>
      <c r="D482" s="151"/>
    </row>
    <row r="483">
      <c r="C483" s="151"/>
      <c r="D483" s="151"/>
    </row>
    <row r="484">
      <c r="C484" s="151"/>
      <c r="D484" s="151"/>
    </row>
    <row r="485">
      <c r="C485" s="151"/>
      <c r="D485" s="151"/>
    </row>
    <row r="486">
      <c r="C486" s="151"/>
      <c r="D486" s="151"/>
    </row>
    <row r="487">
      <c r="C487" s="151"/>
      <c r="D487" s="151"/>
    </row>
    <row r="488">
      <c r="C488" s="151"/>
      <c r="D488" s="151"/>
    </row>
    <row r="489">
      <c r="C489" s="151"/>
      <c r="D489" s="151"/>
    </row>
    <row r="490">
      <c r="C490" s="151"/>
      <c r="D490" s="151"/>
    </row>
    <row r="491">
      <c r="C491" s="151"/>
      <c r="D491" s="151"/>
    </row>
    <row r="492">
      <c r="C492" s="151"/>
      <c r="D492" s="151"/>
    </row>
    <row r="493">
      <c r="C493" s="151"/>
      <c r="D493" s="151"/>
    </row>
    <row r="494">
      <c r="C494" s="151"/>
      <c r="D494" s="151"/>
    </row>
    <row r="495">
      <c r="C495" s="151"/>
      <c r="D495" s="151"/>
    </row>
    <row r="496">
      <c r="C496" s="151"/>
      <c r="D496" s="151"/>
    </row>
    <row r="497">
      <c r="C497" s="151"/>
      <c r="D497" s="151"/>
    </row>
    <row r="498">
      <c r="C498" s="151"/>
      <c r="D498" s="151"/>
    </row>
    <row r="499">
      <c r="C499" s="151"/>
      <c r="D499" s="151"/>
    </row>
    <row r="500">
      <c r="C500" s="151"/>
      <c r="D500" s="151"/>
    </row>
    <row r="501">
      <c r="C501" s="151"/>
      <c r="D501" s="151"/>
    </row>
    <row r="502">
      <c r="C502" s="151"/>
      <c r="D502" s="151"/>
    </row>
    <row r="503">
      <c r="C503" s="151"/>
      <c r="D503" s="151"/>
    </row>
    <row r="504">
      <c r="C504" s="151"/>
      <c r="D504" s="151"/>
    </row>
    <row r="505">
      <c r="C505" s="151"/>
      <c r="D505" s="151"/>
    </row>
    <row r="506">
      <c r="C506" s="151"/>
      <c r="D506" s="151"/>
    </row>
    <row r="507">
      <c r="C507" s="151"/>
      <c r="D507" s="151"/>
    </row>
    <row r="508">
      <c r="C508" s="151"/>
      <c r="D508" s="151"/>
    </row>
    <row r="509">
      <c r="C509" s="151"/>
      <c r="D509" s="151"/>
    </row>
    <row r="510">
      <c r="C510" s="151"/>
      <c r="D510" s="151"/>
    </row>
    <row r="511">
      <c r="C511" s="151"/>
      <c r="D511" s="151"/>
    </row>
    <row r="512">
      <c r="C512" s="151"/>
      <c r="D512" s="151"/>
    </row>
    <row r="513">
      <c r="C513" s="151"/>
      <c r="D513" s="151"/>
    </row>
    <row r="514">
      <c r="C514" s="151"/>
      <c r="D514" s="151"/>
    </row>
    <row r="515">
      <c r="C515" s="151"/>
      <c r="D515" s="151"/>
    </row>
    <row r="516">
      <c r="C516" s="151"/>
      <c r="D516" s="151"/>
    </row>
    <row r="517">
      <c r="C517" s="151"/>
      <c r="D517" s="151"/>
    </row>
    <row r="518">
      <c r="C518" s="151"/>
      <c r="D518" s="151"/>
    </row>
    <row r="519">
      <c r="C519" s="151"/>
      <c r="D519" s="151"/>
    </row>
    <row r="520">
      <c r="C520" s="151"/>
      <c r="D520" s="151"/>
    </row>
    <row r="521">
      <c r="C521" s="151"/>
      <c r="D521" s="151"/>
    </row>
    <row r="522">
      <c r="C522" s="151"/>
      <c r="D522" s="151"/>
    </row>
    <row r="523">
      <c r="C523" s="151"/>
      <c r="D523" s="151"/>
    </row>
    <row r="524">
      <c r="C524" s="151"/>
      <c r="D524" s="151"/>
    </row>
    <row r="525">
      <c r="C525" s="151"/>
      <c r="D525" s="151"/>
    </row>
    <row r="526">
      <c r="C526" s="151"/>
      <c r="D526" s="151"/>
    </row>
    <row r="527">
      <c r="C527" s="151"/>
      <c r="D527" s="151"/>
    </row>
    <row r="528">
      <c r="C528" s="151"/>
      <c r="D528" s="151"/>
    </row>
    <row r="529">
      <c r="C529" s="151"/>
      <c r="D529" s="151"/>
    </row>
    <row r="530">
      <c r="C530" s="151"/>
      <c r="D530" s="151"/>
    </row>
    <row r="531">
      <c r="C531" s="151"/>
      <c r="D531" s="151"/>
    </row>
    <row r="532">
      <c r="C532" s="151"/>
      <c r="D532" s="151"/>
    </row>
    <row r="533">
      <c r="C533" s="151"/>
      <c r="D533" s="151"/>
    </row>
    <row r="534">
      <c r="C534" s="151"/>
      <c r="D534" s="151"/>
    </row>
    <row r="535">
      <c r="C535" s="151"/>
      <c r="D535" s="151"/>
    </row>
    <row r="536">
      <c r="C536" s="151"/>
      <c r="D536" s="151"/>
    </row>
    <row r="537">
      <c r="C537" s="151"/>
      <c r="D537" s="151"/>
    </row>
    <row r="538">
      <c r="C538" s="151"/>
      <c r="D538" s="151"/>
    </row>
    <row r="539">
      <c r="C539" s="151"/>
      <c r="D539" s="151"/>
    </row>
    <row r="540">
      <c r="C540" s="151"/>
      <c r="D540" s="151"/>
    </row>
    <row r="541">
      <c r="C541" s="151"/>
      <c r="D541" s="151"/>
    </row>
    <row r="542">
      <c r="C542" s="151"/>
      <c r="D542" s="151"/>
    </row>
    <row r="543">
      <c r="C543" s="151"/>
      <c r="D543" s="151"/>
    </row>
    <row r="544">
      <c r="C544" s="151"/>
      <c r="D544" s="151"/>
    </row>
    <row r="545">
      <c r="C545" s="151"/>
      <c r="D545" s="151"/>
    </row>
    <row r="546">
      <c r="C546" s="151"/>
      <c r="D546" s="151"/>
    </row>
    <row r="547">
      <c r="C547" s="151"/>
      <c r="D547" s="151"/>
    </row>
    <row r="548">
      <c r="C548" s="151"/>
      <c r="D548" s="151"/>
    </row>
    <row r="549">
      <c r="C549" s="151"/>
      <c r="D549" s="151"/>
    </row>
    <row r="550">
      <c r="C550" s="151"/>
      <c r="D550" s="151"/>
    </row>
    <row r="551">
      <c r="C551" s="151"/>
      <c r="D551" s="151"/>
    </row>
    <row r="552">
      <c r="C552" s="151"/>
      <c r="D552" s="151"/>
    </row>
    <row r="553">
      <c r="C553" s="151"/>
      <c r="D553" s="151"/>
    </row>
    <row r="554">
      <c r="C554" s="151"/>
      <c r="D554" s="151"/>
    </row>
    <row r="555">
      <c r="C555" s="151"/>
      <c r="D555" s="151"/>
    </row>
    <row r="556">
      <c r="C556" s="151"/>
      <c r="D556" s="151"/>
    </row>
    <row r="557">
      <c r="C557" s="151"/>
      <c r="D557" s="151"/>
    </row>
    <row r="558">
      <c r="C558" s="151"/>
      <c r="D558" s="151"/>
    </row>
    <row r="559">
      <c r="C559" s="151"/>
      <c r="D559" s="151"/>
    </row>
    <row r="560">
      <c r="C560" s="151"/>
      <c r="D560" s="151"/>
    </row>
    <row r="561">
      <c r="C561" s="151"/>
      <c r="D561" s="151"/>
    </row>
    <row r="562">
      <c r="C562" s="151"/>
      <c r="D562" s="151"/>
    </row>
    <row r="563">
      <c r="C563" s="151"/>
      <c r="D563" s="151"/>
    </row>
    <row r="564">
      <c r="C564" s="151"/>
      <c r="D564" s="151"/>
    </row>
    <row r="565">
      <c r="C565" s="151"/>
      <c r="D565" s="151"/>
    </row>
    <row r="566">
      <c r="C566" s="151"/>
      <c r="D566" s="151"/>
    </row>
    <row r="567">
      <c r="C567" s="151"/>
      <c r="D567" s="151"/>
    </row>
    <row r="568">
      <c r="C568" s="151"/>
      <c r="D568" s="151"/>
    </row>
    <row r="569">
      <c r="C569" s="151"/>
      <c r="D569" s="151"/>
    </row>
    <row r="570">
      <c r="C570" s="151"/>
      <c r="D570" s="151"/>
    </row>
    <row r="571">
      <c r="C571" s="151"/>
      <c r="D571" s="151"/>
    </row>
    <row r="572">
      <c r="C572" s="151"/>
      <c r="D572" s="151"/>
    </row>
    <row r="573">
      <c r="C573" s="151"/>
      <c r="D573" s="151"/>
    </row>
    <row r="574">
      <c r="C574" s="151"/>
      <c r="D574" s="151"/>
    </row>
    <row r="575">
      <c r="C575" s="151"/>
      <c r="D575" s="151"/>
    </row>
    <row r="576">
      <c r="C576" s="151"/>
      <c r="D576" s="151"/>
    </row>
    <row r="577">
      <c r="C577" s="151"/>
      <c r="D577" s="151"/>
    </row>
    <row r="578">
      <c r="C578" s="151"/>
      <c r="D578" s="151"/>
    </row>
    <row r="579">
      <c r="C579" s="151"/>
      <c r="D579" s="151"/>
    </row>
    <row r="580">
      <c r="C580" s="151"/>
      <c r="D580" s="151"/>
    </row>
    <row r="581">
      <c r="C581" s="151"/>
      <c r="D581" s="151"/>
    </row>
    <row r="582">
      <c r="C582" s="151"/>
      <c r="D582" s="151"/>
    </row>
    <row r="583">
      <c r="C583" s="151"/>
      <c r="D583" s="151"/>
    </row>
    <row r="584">
      <c r="C584" s="151"/>
      <c r="D584" s="151"/>
    </row>
    <row r="585">
      <c r="C585" s="151"/>
      <c r="D585" s="151"/>
    </row>
    <row r="586">
      <c r="C586" s="151"/>
      <c r="D586" s="151"/>
    </row>
    <row r="587">
      <c r="C587" s="151"/>
      <c r="D587" s="151"/>
    </row>
    <row r="588">
      <c r="C588" s="151"/>
      <c r="D588" s="151"/>
    </row>
    <row r="589">
      <c r="C589" s="151"/>
      <c r="D589" s="151"/>
    </row>
    <row r="590">
      <c r="C590" s="151"/>
      <c r="D590" s="151"/>
    </row>
    <row r="591">
      <c r="C591" s="151"/>
      <c r="D591" s="151"/>
    </row>
    <row r="592">
      <c r="C592" s="151"/>
      <c r="D592" s="151"/>
    </row>
    <row r="593">
      <c r="C593" s="151"/>
      <c r="D593" s="151"/>
    </row>
    <row r="594">
      <c r="C594" s="151"/>
      <c r="D594" s="151"/>
    </row>
    <row r="595">
      <c r="C595" s="151"/>
      <c r="D595" s="151"/>
    </row>
    <row r="596">
      <c r="C596" s="151"/>
      <c r="D596" s="151"/>
    </row>
    <row r="597">
      <c r="C597" s="151"/>
      <c r="D597" s="151"/>
    </row>
    <row r="598">
      <c r="C598" s="151"/>
      <c r="D598" s="151"/>
    </row>
    <row r="599">
      <c r="C599" s="151"/>
      <c r="D599" s="151"/>
    </row>
    <row r="600">
      <c r="C600" s="151"/>
      <c r="D600" s="151"/>
    </row>
    <row r="601">
      <c r="C601" s="151"/>
      <c r="D601" s="151"/>
    </row>
    <row r="602">
      <c r="C602" s="151"/>
      <c r="D602" s="151"/>
    </row>
    <row r="603">
      <c r="C603" s="151"/>
      <c r="D603" s="151"/>
    </row>
    <row r="604">
      <c r="C604" s="151"/>
      <c r="D604" s="151"/>
    </row>
    <row r="605">
      <c r="C605" s="151"/>
      <c r="D605" s="151"/>
    </row>
    <row r="606">
      <c r="C606" s="151"/>
      <c r="D606" s="151"/>
    </row>
    <row r="607">
      <c r="C607" s="151"/>
      <c r="D607" s="151"/>
    </row>
    <row r="608">
      <c r="C608" s="151"/>
      <c r="D608" s="151"/>
    </row>
    <row r="609">
      <c r="C609" s="151"/>
      <c r="D609" s="151"/>
    </row>
    <row r="610">
      <c r="C610" s="151"/>
      <c r="D610" s="151"/>
    </row>
    <row r="611">
      <c r="C611" s="151"/>
      <c r="D611" s="151"/>
    </row>
    <row r="612">
      <c r="C612" s="151"/>
      <c r="D612" s="151"/>
    </row>
    <row r="613">
      <c r="C613" s="151"/>
      <c r="D613" s="151"/>
    </row>
    <row r="614">
      <c r="C614" s="151"/>
      <c r="D614" s="151"/>
    </row>
    <row r="615">
      <c r="C615" s="151"/>
      <c r="D615" s="151"/>
    </row>
    <row r="616">
      <c r="C616" s="151"/>
      <c r="D616" s="151"/>
    </row>
    <row r="617">
      <c r="C617" s="151"/>
      <c r="D617" s="151"/>
    </row>
    <row r="618">
      <c r="C618" s="151"/>
      <c r="D618" s="151"/>
    </row>
    <row r="619">
      <c r="C619" s="151"/>
      <c r="D619" s="151"/>
    </row>
    <row r="620">
      <c r="C620" s="151"/>
      <c r="D620" s="151"/>
    </row>
    <row r="621">
      <c r="C621" s="151"/>
      <c r="D621" s="151"/>
    </row>
    <row r="622">
      <c r="C622" s="151"/>
      <c r="D622" s="151"/>
    </row>
    <row r="623">
      <c r="C623" s="151"/>
      <c r="D623" s="151"/>
    </row>
    <row r="624">
      <c r="C624" s="151"/>
      <c r="D624" s="151"/>
    </row>
    <row r="625">
      <c r="C625" s="151"/>
      <c r="D625" s="151"/>
    </row>
    <row r="626">
      <c r="C626" s="151"/>
      <c r="D626" s="151"/>
    </row>
    <row r="627">
      <c r="C627" s="151"/>
      <c r="D627" s="151"/>
    </row>
    <row r="628">
      <c r="C628" s="151"/>
      <c r="D628" s="151"/>
    </row>
    <row r="629">
      <c r="C629" s="151"/>
      <c r="D629" s="151"/>
    </row>
    <row r="630">
      <c r="C630" s="151"/>
      <c r="D630" s="151"/>
    </row>
    <row r="631">
      <c r="C631" s="151"/>
      <c r="D631" s="151"/>
    </row>
    <row r="632">
      <c r="C632" s="151"/>
      <c r="D632" s="151"/>
    </row>
    <row r="633">
      <c r="C633" s="151"/>
      <c r="D633" s="151"/>
    </row>
    <row r="634">
      <c r="C634" s="151"/>
      <c r="D634" s="151"/>
    </row>
    <row r="635">
      <c r="C635" s="151"/>
      <c r="D635" s="151"/>
    </row>
    <row r="636">
      <c r="C636" s="151"/>
      <c r="D636" s="151"/>
    </row>
    <row r="637">
      <c r="C637" s="151"/>
      <c r="D637" s="151"/>
    </row>
    <row r="638">
      <c r="C638" s="151"/>
      <c r="D638" s="151"/>
    </row>
    <row r="639">
      <c r="C639" s="151"/>
      <c r="D639" s="151"/>
    </row>
    <row r="640">
      <c r="C640" s="151"/>
      <c r="D640" s="151"/>
    </row>
    <row r="641">
      <c r="C641" s="151"/>
      <c r="D641" s="151"/>
    </row>
    <row r="642">
      <c r="C642" s="151"/>
      <c r="D642" s="151"/>
    </row>
    <row r="643">
      <c r="C643" s="151"/>
      <c r="D643" s="151"/>
    </row>
    <row r="644">
      <c r="C644" s="151"/>
      <c r="D644" s="151"/>
    </row>
    <row r="645">
      <c r="C645" s="151"/>
      <c r="D645" s="151"/>
    </row>
    <row r="646">
      <c r="C646" s="151"/>
      <c r="D646" s="151"/>
    </row>
    <row r="647">
      <c r="C647" s="151"/>
      <c r="D647" s="151"/>
    </row>
    <row r="648">
      <c r="C648" s="151"/>
      <c r="D648" s="151"/>
    </row>
    <row r="649">
      <c r="C649" s="151"/>
      <c r="D649" s="151"/>
    </row>
    <row r="650">
      <c r="C650" s="151"/>
      <c r="D650" s="151"/>
    </row>
    <row r="651">
      <c r="C651" s="151"/>
      <c r="D651" s="151"/>
    </row>
    <row r="652">
      <c r="C652" s="151"/>
      <c r="D652" s="151"/>
    </row>
    <row r="653">
      <c r="C653" s="151"/>
      <c r="D653" s="151"/>
    </row>
    <row r="654">
      <c r="C654" s="151"/>
      <c r="D654" s="151"/>
    </row>
    <row r="655">
      <c r="C655" s="151"/>
      <c r="D655" s="151"/>
    </row>
    <row r="656">
      <c r="C656" s="151"/>
      <c r="D656" s="151"/>
    </row>
    <row r="657">
      <c r="C657" s="151"/>
      <c r="D657" s="151"/>
    </row>
    <row r="658">
      <c r="C658" s="151"/>
      <c r="D658" s="151"/>
    </row>
    <row r="659">
      <c r="C659" s="151"/>
      <c r="D659" s="151"/>
    </row>
    <row r="660">
      <c r="C660" s="151"/>
      <c r="D660" s="151"/>
    </row>
    <row r="661">
      <c r="C661" s="151"/>
      <c r="D661" s="151"/>
    </row>
    <row r="662">
      <c r="C662" s="151"/>
      <c r="D662" s="151"/>
    </row>
    <row r="663">
      <c r="C663" s="151"/>
      <c r="D663" s="151"/>
    </row>
    <row r="664">
      <c r="C664" s="151"/>
      <c r="D664" s="151"/>
    </row>
    <row r="665">
      <c r="C665" s="151"/>
      <c r="D665" s="151"/>
    </row>
    <row r="666">
      <c r="C666" s="151"/>
      <c r="D666" s="151"/>
    </row>
    <row r="667">
      <c r="C667" s="151"/>
      <c r="D667" s="151"/>
    </row>
    <row r="668">
      <c r="C668" s="151"/>
      <c r="D668" s="151"/>
    </row>
    <row r="669">
      <c r="C669" s="151"/>
      <c r="D669" s="151"/>
    </row>
    <row r="670">
      <c r="C670" s="151"/>
      <c r="D670" s="151"/>
    </row>
    <row r="671">
      <c r="C671" s="151"/>
      <c r="D671" s="151"/>
    </row>
    <row r="672">
      <c r="C672" s="151"/>
      <c r="D672" s="151"/>
    </row>
    <row r="673">
      <c r="C673" s="151"/>
      <c r="D673" s="151"/>
    </row>
    <row r="674">
      <c r="C674" s="151"/>
      <c r="D674" s="151"/>
    </row>
    <row r="675">
      <c r="C675" s="151"/>
      <c r="D675" s="151"/>
    </row>
    <row r="676">
      <c r="C676" s="151"/>
      <c r="D676" s="151"/>
    </row>
    <row r="677">
      <c r="C677" s="151"/>
      <c r="D677" s="151"/>
    </row>
    <row r="678">
      <c r="C678" s="151"/>
      <c r="D678" s="151"/>
    </row>
    <row r="679">
      <c r="C679" s="151"/>
      <c r="D679" s="151"/>
    </row>
    <row r="680">
      <c r="C680" s="151"/>
      <c r="D680" s="151"/>
    </row>
    <row r="681">
      <c r="C681" s="151"/>
      <c r="D681" s="151"/>
    </row>
    <row r="682">
      <c r="C682" s="151"/>
      <c r="D682" s="151"/>
    </row>
    <row r="683">
      <c r="C683" s="151"/>
      <c r="D683" s="151"/>
    </row>
    <row r="684">
      <c r="C684" s="151"/>
      <c r="D684" s="151"/>
    </row>
    <row r="685">
      <c r="C685" s="151"/>
      <c r="D685" s="151"/>
    </row>
    <row r="686">
      <c r="C686" s="151"/>
      <c r="D686" s="151"/>
    </row>
    <row r="687">
      <c r="C687" s="151"/>
      <c r="D687" s="151"/>
    </row>
    <row r="688">
      <c r="C688" s="151"/>
      <c r="D688" s="151"/>
    </row>
    <row r="689">
      <c r="C689" s="151"/>
      <c r="D689" s="151"/>
    </row>
    <row r="690">
      <c r="C690" s="151"/>
      <c r="D690" s="151"/>
    </row>
    <row r="691">
      <c r="C691" s="151"/>
      <c r="D691" s="151"/>
    </row>
    <row r="692">
      <c r="C692" s="151"/>
      <c r="D692" s="151"/>
    </row>
    <row r="693">
      <c r="C693" s="151"/>
      <c r="D693" s="151"/>
    </row>
    <row r="694">
      <c r="C694" s="151"/>
      <c r="D694" s="151"/>
    </row>
    <row r="695">
      <c r="C695" s="151"/>
      <c r="D695" s="151"/>
    </row>
    <row r="696">
      <c r="C696" s="151"/>
      <c r="D696" s="151"/>
    </row>
    <row r="697">
      <c r="C697" s="151"/>
      <c r="D697" s="151"/>
    </row>
    <row r="698">
      <c r="C698" s="151"/>
      <c r="D698" s="151"/>
    </row>
    <row r="699">
      <c r="C699" s="151"/>
      <c r="D699" s="151"/>
    </row>
    <row r="700">
      <c r="C700" s="151"/>
      <c r="D700" s="151"/>
    </row>
    <row r="701">
      <c r="C701" s="151"/>
      <c r="D701" s="151"/>
    </row>
    <row r="702">
      <c r="C702" s="151"/>
      <c r="D702" s="151"/>
    </row>
    <row r="703">
      <c r="C703" s="151"/>
      <c r="D703" s="151"/>
    </row>
    <row r="704">
      <c r="C704" s="151"/>
      <c r="D704" s="151"/>
    </row>
    <row r="705">
      <c r="C705" s="151"/>
      <c r="D705" s="151"/>
    </row>
    <row r="706">
      <c r="C706" s="151"/>
      <c r="D706" s="151"/>
    </row>
    <row r="707">
      <c r="C707" s="151"/>
      <c r="D707" s="151"/>
    </row>
    <row r="708">
      <c r="C708" s="151"/>
      <c r="D708" s="151"/>
    </row>
    <row r="709">
      <c r="C709" s="151"/>
      <c r="D709" s="151"/>
    </row>
    <row r="710">
      <c r="C710" s="151"/>
      <c r="D710" s="151"/>
    </row>
    <row r="711">
      <c r="C711" s="151"/>
      <c r="D711" s="151"/>
    </row>
    <row r="712">
      <c r="C712" s="151"/>
      <c r="D712" s="151"/>
    </row>
    <row r="713">
      <c r="C713" s="151"/>
      <c r="D713" s="151"/>
    </row>
    <row r="714">
      <c r="C714" s="151"/>
      <c r="D714" s="151"/>
    </row>
    <row r="715">
      <c r="C715" s="151"/>
      <c r="D715" s="151"/>
    </row>
    <row r="716">
      <c r="C716" s="151"/>
      <c r="D716" s="151"/>
    </row>
    <row r="717">
      <c r="C717" s="151"/>
      <c r="D717" s="151"/>
    </row>
    <row r="718">
      <c r="C718" s="151"/>
      <c r="D718" s="151"/>
    </row>
    <row r="719">
      <c r="C719" s="151"/>
      <c r="D719" s="151"/>
    </row>
    <row r="720">
      <c r="C720" s="151"/>
      <c r="D720" s="151"/>
    </row>
    <row r="721">
      <c r="C721" s="151"/>
      <c r="D721" s="151"/>
    </row>
    <row r="722">
      <c r="C722" s="151"/>
      <c r="D722" s="151"/>
    </row>
    <row r="723">
      <c r="C723" s="151"/>
      <c r="D723" s="151"/>
    </row>
    <row r="724">
      <c r="C724" s="151"/>
      <c r="D724" s="151"/>
    </row>
    <row r="725">
      <c r="C725" s="151"/>
      <c r="D725" s="151"/>
    </row>
    <row r="726">
      <c r="C726" s="151"/>
      <c r="D726" s="151"/>
    </row>
    <row r="727">
      <c r="C727" s="151"/>
      <c r="D727" s="151"/>
    </row>
    <row r="728">
      <c r="C728" s="151"/>
      <c r="D728" s="151"/>
    </row>
    <row r="729">
      <c r="C729" s="151"/>
      <c r="D729" s="151"/>
    </row>
    <row r="730">
      <c r="C730" s="151"/>
      <c r="D730" s="151"/>
    </row>
    <row r="731">
      <c r="C731" s="151"/>
      <c r="D731" s="151"/>
    </row>
    <row r="732">
      <c r="C732" s="151"/>
      <c r="D732" s="151"/>
    </row>
    <row r="733">
      <c r="C733" s="151"/>
      <c r="D733" s="151"/>
    </row>
    <row r="734">
      <c r="C734" s="151"/>
      <c r="D734" s="151"/>
    </row>
    <row r="735">
      <c r="C735" s="151"/>
      <c r="D735" s="151"/>
    </row>
    <row r="736">
      <c r="C736" s="151"/>
      <c r="D736" s="151"/>
    </row>
    <row r="737">
      <c r="C737" s="151"/>
      <c r="D737" s="151"/>
    </row>
    <row r="738">
      <c r="C738" s="151"/>
      <c r="D738" s="151"/>
    </row>
    <row r="739">
      <c r="C739" s="151"/>
      <c r="D739" s="151"/>
    </row>
    <row r="740">
      <c r="C740" s="151"/>
      <c r="D740" s="151"/>
    </row>
    <row r="741">
      <c r="C741" s="151"/>
      <c r="D741" s="151"/>
    </row>
    <row r="742">
      <c r="C742" s="151"/>
      <c r="D742" s="151"/>
    </row>
    <row r="743">
      <c r="C743" s="151"/>
      <c r="D743" s="151"/>
    </row>
    <row r="744">
      <c r="C744" s="151"/>
      <c r="D744" s="151"/>
    </row>
    <row r="745">
      <c r="C745" s="151"/>
      <c r="D745" s="151"/>
    </row>
    <row r="746">
      <c r="C746" s="151"/>
      <c r="D746" s="151"/>
    </row>
    <row r="747">
      <c r="C747" s="151"/>
      <c r="D747" s="151"/>
    </row>
    <row r="748">
      <c r="C748" s="151"/>
      <c r="D748" s="151"/>
    </row>
    <row r="749">
      <c r="C749" s="151"/>
      <c r="D749" s="151"/>
    </row>
    <row r="750">
      <c r="C750" s="151"/>
      <c r="D750" s="151"/>
    </row>
    <row r="751">
      <c r="C751" s="151"/>
      <c r="D751" s="151"/>
    </row>
    <row r="752">
      <c r="C752" s="151"/>
      <c r="D752" s="151"/>
    </row>
    <row r="753">
      <c r="C753" s="151"/>
      <c r="D753" s="151"/>
    </row>
    <row r="754">
      <c r="C754" s="151"/>
      <c r="D754" s="151"/>
    </row>
    <row r="755">
      <c r="C755" s="151"/>
      <c r="D755" s="151"/>
    </row>
    <row r="756">
      <c r="C756" s="151"/>
      <c r="D756" s="151"/>
    </row>
    <row r="757">
      <c r="C757" s="151"/>
      <c r="D757" s="151"/>
    </row>
    <row r="758">
      <c r="C758" s="151"/>
      <c r="D758" s="151"/>
    </row>
    <row r="759">
      <c r="C759" s="151"/>
      <c r="D759" s="151"/>
    </row>
    <row r="760">
      <c r="C760" s="151"/>
      <c r="D760" s="151"/>
    </row>
    <row r="761">
      <c r="C761" s="151"/>
      <c r="D761" s="151"/>
    </row>
    <row r="762">
      <c r="C762" s="151"/>
      <c r="D762" s="151"/>
    </row>
    <row r="763">
      <c r="C763" s="151"/>
      <c r="D763" s="151"/>
    </row>
    <row r="764">
      <c r="C764" s="151"/>
      <c r="D764" s="151"/>
    </row>
    <row r="765">
      <c r="C765" s="151"/>
      <c r="D765" s="151"/>
    </row>
    <row r="766">
      <c r="C766" s="151"/>
      <c r="D766" s="151"/>
    </row>
    <row r="767">
      <c r="C767" s="151"/>
      <c r="D767" s="151"/>
    </row>
    <row r="768">
      <c r="C768" s="151"/>
      <c r="D768" s="151"/>
    </row>
    <row r="769">
      <c r="C769" s="151"/>
      <c r="D769" s="151"/>
    </row>
    <row r="770">
      <c r="C770" s="151"/>
      <c r="D770" s="151"/>
    </row>
    <row r="771">
      <c r="C771" s="151"/>
      <c r="D771" s="151"/>
    </row>
    <row r="772">
      <c r="C772" s="151"/>
      <c r="D772" s="151"/>
    </row>
    <row r="773">
      <c r="C773" s="151"/>
      <c r="D773" s="151"/>
    </row>
    <row r="774">
      <c r="C774" s="151"/>
      <c r="D774" s="151"/>
    </row>
    <row r="775">
      <c r="C775" s="151"/>
      <c r="D775" s="151"/>
    </row>
    <row r="776">
      <c r="C776" s="151"/>
      <c r="D776" s="151"/>
    </row>
    <row r="777">
      <c r="C777" s="151"/>
      <c r="D777" s="151"/>
    </row>
    <row r="778">
      <c r="C778" s="151"/>
      <c r="D778" s="151"/>
    </row>
    <row r="779">
      <c r="C779" s="151"/>
      <c r="D779" s="151"/>
    </row>
    <row r="780">
      <c r="C780" s="151"/>
      <c r="D780" s="151"/>
    </row>
    <row r="781">
      <c r="C781" s="151"/>
      <c r="D781" s="151"/>
    </row>
    <row r="782">
      <c r="C782" s="151"/>
      <c r="D782" s="151"/>
    </row>
    <row r="783">
      <c r="C783" s="151"/>
      <c r="D783" s="151"/>
    </row>
    <row r="784">
      <c r="C784" s="151"/>
      <c r="D784" s="151"/>
    </row>
    <row r="785">
      <c r="C785" s="151"/>
      <c r="D785" s="151"/>
    </row>
    <row r="786">
      <c r="C786" s="151"/>
      <c r="D786" s="151"/>
    </row>
    <row r="787">
      <c r="C787" s="151"/>
      <c r="D787" s="151"/>
    </row>
    <row r="788">
      <c r="C788" s="151"/>
      <c r="D788" s="151"/>
    </row>
    <row r="789">
      <c r="C789" s="151"/>
      <c r="D789" s="151"/>
    </row>
    <row r="790">
      <c r="C790" s="151"/>
      <c r="D790" s="151"/>
    </row>
    <row r="791">
      <c r="C791" s="151"/>
      <c r="D791" s="151"/>
    </row>
    <row r="792">
      <c r="C792" s="151"/>
      <c r="D792" s="151"/>
    </row>
    <row r="793">
      <c r="C793" s="151"/>
      <c r="D793" s="151"/>
    </row>
    <row r="794">
      <c r="C794" s="151"/>
      <c r="D794" s="151"/>
    </row>
    <row r="795">
      <c r="C795" s="151"/>
      <c r="D795" s="151"/>
    </row>
    <row r="796">
      <c r="C796" s="151"/>
      <c r="D796" s="151"/>
    </row>
    <row r="797">
      <c r="C797" s="151"/>
      <c r="D797" s="151"/>
    </row>
    <row r="798">
      <c r="C798" s="151"/>
      <c r="D798" s="151"/>
    </row>
    <row r="799">
      <c r="C799" s="151"/>
      <c r="D799" s="151"/>
    </row>
    <row r="800">
      <c r="C800" s="151"/>
      <c r="D800" s="151"/>
    </row>
    <row r="801">
      <c r="C801" s="151"/>
      <c r="D801" s="151"/>
    </row>
    <row r="802">
      <c r="C802" s="151"/>
      <c r="D802" s="151"/>
    </row>
    <row r="803">
      <c r="C803" s="151"/>
      <c r="D803" s="151"/>
    </row>
    <row r="804">
      <c r="C804" s="151"/>
      <c r="D804" s="151"/>
    </row>
    <row r="805">
      <c r="C805" s="151"/>
      <c r="D805" s="151"/>
    </row>
    <row r="806">
      <c r="C806" s="151"/>
      <c r="D806" s="151"/>
    </row>
    <row r="807">
      <c r="C807" s="151"/>
      <c r="D807" s="151"/>
    </row>
    <row r="808">
      <c r="C808" s="151"/>
      <c r="D808" s="151"/>
    </row>
    <row r="809">
      <c r="C809" s="151"/>
      <c r="D809" s="151"/>
    </row>
    <row r="810">
      <c r="C810" s="151"/>
      <c r="D810" s="151"/>
    </row>
    <row r="811">
      <c r="C811" s="151"/>
      <c r="D811" s="151"/>
    </row>
    <row r="812">
      <c r="C812" s="151"/>
      <c r="D812" s="151"/>
    </row>
    <row r="813">
      <c r="C813" s="151"/>
      <c r="D813" s="151"/>
    </row>
    <row r="814">
      <c r="C814" s="151"/>
      <c r="D814" s="151"/>
    </row>
    <row r="815">
      <c r="C815" s="151"/>
      <c r="D815" s="151"/>
    </row>
    <row r="816">
      <c r="C816" s="151"/>
      <c r="D816" s="151"/>
    </row>
    <row r="817">
      <c r="C817" s="151"/>
      <c r="D817" s="151"/>
    </row>
    <row r="818">
      <c r="C818" s="151"/>
      <c r="D818" s="151"/>
    </row>
    <row r="819">
      <c r="C819" s="151"/>
      <c r="D819" s="151"/>
    </row>
    <row r="820">
      <c r="C820" s="151"/>
      <c r="D820" s="151"/>
    </row>
    <row r="821">
      <c r="C821" s="151"/>
      <c r="D821" s="151"/>
    </row>
    <row r="822">
      <c r="C822" s="151"/>
      <c r="D822" s="151"/>
    </row>
    <row r="823">
      <c r="C823" s="151"/>
      <c r="D823" s="151"/>
    </row>
    <row r="824">
      <c r="C824" s="151"/>
      <c r="D824" s="151"/>
    </row>
    <row r="825">
      <c r="C825" s="151"/>
      <c r="D825" s="151"/>
    </row>
    <row r="826">
      <c r="C826" s="151"/>
      <c r="D826" s="151"/>
    </row>
    <row r="827">
      <c r="C827" s="151"/>
      <c r="D827" s="151"/>
    </row>
    <row r="828">
      <c r="C828" s="151"/>
      <c r="D828" s="151"/>
    </row>
    <row r="829">
      <c r="C829" s="151"/>
      <c r="D829" s="151"/>
    </row>
    <row r="830">
      <c r="C830" s="151"/>
      <c r="D830" s="151"/>
    </row>
    <row r="831">
      <c r="C831" s="151"/>
      <c r="D831" s="151"/>
    </row>
    <row r="832">
      <c r="C832" s="151"/>
      <c r="D832" s="151"/>
    </row>
    <row r="833">
      <c r="C833" s="151"/>
      <c r="D833" s="151"/>
    </row>
    <row r="834">
      <c r="C834" s="151"/>
      <c r="D834" s="151"/>
    </row>
    <row r="835">
      <c r="C835" s="151"/>
      <c r="D835" s="151"/>
    </row>
    <row r="836">
      <c r="C836" s="151"/>
      <c r="D836" s="151"/>
    </row>
    <row r="837">
      <c r="C837" s="151"/>
      <c r="D837" s="151"/>
    </row>
    <row r="838">
      <c r="C838" s="151"/>
      <c r="D838" s="151"/>
    </row>
    <row r="839">
      <c r="C839" s="151"/>
      <c r="D839" s="151"/>
    </row>
    <row r="840">
      <c r="C840" s="151"/>
      <c r="D840" s="151"/>
    </row>
    <row r="841">
      <c r="C841" s="151"/>
      <c r="D841" s="151"/>
    </row>
    <row r="842">
      <c r="C842" s="151"/>
      <c r="D842" s="151"/>
    </row>
    <row r="843">
      <c r="C843" s="151"/>
      <c r="D843" s="151"/>
    </row>
    <row r="844">
      <c r="C844" s="151"/>
      <c r="D844" s="151"/>
    </row>
    <row r="845">
      <c r="C845" s="151"/>
      <c r="D845" s="151"/>
    </row>
    <row r="846">
      <c r="C846" s="151"/>
      <c r="D846" s="151"/>
    </row>
    <row r="847">
      <c r="C847" s="151"/>
      <c r="D847" s="151"/>
    </row>
    <row r="848">
      <c r="C848" s="151"/>
      <c r="D848" s="151"/>
    </row>
    <row r="849">
      <c r="C849" s="151"/>
      <c r="D849" s="151"/>
    </row>
    <row r="850">
      <c r="C850" s="151"/>
      <c r="D850" s="151"/>
    </row>
    <row r="851">
      <c r="C851" s="151"/>
      <c r="D851" s="151"/>
    </row>
    <row r="852">
      <c r="C852" s="151"/>
      <c r="D852" s="151"/>
    </row>
    <row r="853">
      <c r="C853" s="151"/>
      <c r="D853" s="151"/>
    </row>
    <row r="854">
      <c r="C854" s="151"/>
      <c r="D854" s="151"/>
    </row>
    <row r="855">
      <c r="C855" s="151"/>
      <c r="D855" s="151"/>
    </row>
    <row r="856">
      <c r="C856" s="151"/>
      <c r="D856" s="151"/>
    </row>
    <row r="857">
      <c r="C857" s="151"/>
      <c r="D857" s="151"/>
    </row>
    <row r="858">
      <c r="C858" s="151"/>
      <c r="D858" s="151"/>
    </row>
    <row r="859">
      <c r="C859" s="151"/>
      <c r="D859" s="151"/>
    </row>
    <row r="860">
      <c r="C860" s="151"/>
      <c r="D860" s="151"/>
    </row>
    <row r="861">
      <c r="C861" s="151"/>
      <c r="D861" s="151"/>
    </row>
    <row r="862">
      <c r="C862" s="151"/>
      <c r="D862" s="151"/>
    </row>
    <row r="863">
      <c r="C863" s="151"/>
      <c r="D863" s="151"/>
    </row>
    <row r="864">
      <c r="C864" s="151"/>
      <c r="D864" s="151"/>
    </row>
    <row r="865">
      <c r="C865" s="151"/>
      <c r="D865" s="151"/>
    </row>
    <row r="866">
      <c r="C866" s="151"/>
      <c r="D866" s="151"/>
    </row>
    <row r="867">
      <c r="C867" s="151"/>
      <c r="D867" s="151"/>
    </row>
    <row r="868">
      <c r="C868" s="151"/>
      <c r="D868" s="151"/>
    </row>
    <row r="869">
      <c r="C869" s="151"/>
      <c r="D869" s="151"/>
    </row>
    <row r="870">
      <c r="C870" s="151"/>
      <c r="D870" s="151"/>
    </row>
    <row r="871">
      <c r="C871" s="151"/>
      <c r="D871" s="151"/>
    </row>
    <row r="872">
      <c r="C872" s="151"/>
      <c r="D872" s="151"/>
    </row>
    <row r="873">
      <c r="C873" s="151"/>
      <c r="D873" s="151"/>
    </row>
    <row r="874">
      <c r="C874" s="151"/>
      <c r="D874" s="151"/>
    </row>
    <row r="875">
      <c r="C875" s="151"/>
      <c r="D875" s="151"/>
    </row>
    <row r="876">
      <c r="C876" s="151"/>
      <c r="D876" s="151"/>
    </row>
    <row r="877">
      <c r="C877" s="151"/>
      <c r="D877" s="151"/>
    </row>
    <row r="878">
      <c r="C878" s="151"/>
      <c r="D878" s="151"/>
    </row>
    <row r="879">
      <c r="C879" s="151"/>
      <c r="D879" s="151"/>
    </row>
    <row r="880">
      <c r="C880" s="151"/>
      <c r="D880" s="151"/>
    </row>
    <row r="881">
      <c r="C881" s="151"/>
      <c r="D881" s="151"/>
    </row>
    <row r="882">
      <c r="C882" s="151"/>
      <c r="D882" s="151"/>
    </row>
    <row r="883">
      <c r="C883" s="151"/>
      <c r="D883" s="151"/>
    </row>
    <row r="884">
      <c r="C884" s="151"/>
      <c r="D884" s="151"/>
    </row>
    <row r="885">
      <c r="C885" s="151"/>
      <c r="D885" s="151"/>
    </row>
    <row r="886">
      <c r="C886" s="151"/>
      <c r="D886" s="151"/>
    </row>
    <row r="887">
      <c r="C887" s="151"/>
      <c r="D887" s="151"/>
    </row>
    <row r="888">
      <c r="C888" s="151"/>
      <c r="D888" s="151"/>
    </row>
    <row r="889">
      <c r="C889" s="151"/>
      <c r="D889" s="151"/>
    </row>
    <row r="890">
      <c r="C890" s="151"/>
      <c r="D890" s="151"/>
    </row>
    <row r="891">
      <c r="C891" s="151"/>
      <c r="D891" s="151"/>
    </row>
    <row r="892">
      <c r="C892" s="151"/>
      <c r="D892" s="151"/>
    </row>
    <row r="893">
      <c r="C893" s="151"/>
      <c r="D893" s="151"/>
    </row>
    <row r="894">
      <c r="C894" s="151"/>
      <c r="D894" s="151"/>
    </row>
    <row r="895">
      <c r="C895" s="151"/>
      <c r="D895" s="151"/>
    </row>
    <row r="896">
      <c r="C896" s="151"/>
      <c r="D896" s="151"/>
    </row>
    <row r="897">
      <c r="C897" s="151"/>
      <c r="D897" s="151"/>
    </row>
    <row r="898">
      <c r="C898" s="151"/>
      <c r="D898" s="151"/>
    </row>
    <row r="899">
      <c r="C899" s="151"/>
      <c r="D899" s="151"/>
    </row>
    <row r="900">
      <c r="C900" s="151"/>
      <c r="D900" s="151"/>
    </row>
    <row r="901">
      <c r="C901" s="151"/>
      <c r="D901" s="151"/>
    </row>
    <row r="902">
      <c r="C902" s="151"/>
      <c r="D902" s="151"/>
    </row>
    <row r="903">
      <c r="C903" s="151"/>
      <c r="D903" s="151"/>
    </row>
    <row r="904">
      <c r="C904" s="151"/>
      <c r="D904" s="151"/>
    </row>
    <row r="905">
      <c r="C905" s="151"/>
      <c r="D905" s="151"/>
    </row>
    <row r="906">
      <c r="C906" s="151"/>
      <c r="D906" s="151"/>
    </row>
    <row r="907">
      <c r="C907" s="151"/>
      <c r="D907" s="151"/>
    </row>
    <row r="908">
      <c r="C908" s="151"/>
      <c r="D908" s="151"/>
    </row>
    <row r="909">
      <c r="C909" s="151"/>
      <c r="D909" s="151"/>
    </row>
    <row r="910">
      <c r="C910" s="151"/>
      <c r="D910" s="151"/>
    </row>
    <row r="911">
      <c r="C911" s="151"/>
      <c r="D911" s="151"/>
    </row>
    <row r="912">
      <c r="C912" s="151"/>
      <c r="D912" s="151"/>
    </row>
    <row r="913">
      <c r="C913" s="151"/>
      <c r="D913" s="151"/>
    </row>
    <row r="914">
      <c r="C914" s="151"/>
      <c r="D914" s="151"/>
    </row>
    <row r="915">
      <c r="C915" s="151"/>
      <c r="D915" s="151"/>
    </row>
    <row r="916">
      <c r="C916" s="151"/>
      <c r="D916" s="151"/>
    </row>
    <row r="917">
      <c r="C917" s="151"/>
      <c r="D917" s="151"/>
    </row>
    <row r="918">
      <c r="C918" s="151"/>
      <c r="D918" s="151"/>
    </row>
    <row r="919">
      <c r="C919" s="151"/>
      <c r="D919" s="151"/>
    </row>
    <row r="920">
      <c r="C920" s="151"/>
      <c r="D920" s="151"/>
    </row>
    <row r="921">
      <c r="C921" s="151"/>
      <c r="D921" s="151"/>
    </row>
    <row r="922">
      <c r="C922" s="151"/>
      <c r="D922" s="151"/>
    </row>
    <row r="923">
      <c r="C923" s="151"/>
      <c r="D923" s="151"/>
    </row>
    <row r="924">
      <c r="C924" s="151"/>
      <c r="D924" s="151"/>
    </row>
    <row r="925">
      <c r="C925" s="151"/>
      <c r="D925" s="151"/>
    </row>
    <row r="926">
      <c r="C926" s="151"/>
      <c r="D926" s="151"/>
    </row>
    <row r="927">
      <c r="C927" s="151"/>
      <c r="D927" s="151"/>
    </row>
    <row r="928">
      <c r="C928" s="151"/>
      <c r="D928" s="151"/>
    </row>
    <row r="929">
      <c r="C929" s="151"/>
      <c r="D929" s="151"/>
    </row>
    <row r="930">
      <c r="C930" s="151"/>
      <c r="D930" s="151"/>
    </row>
    <row r="931">
      <c r="C931" s="151"/>
      <c r="D931" s="151"/>
    </row>
    <row r="932">
      <c r="C932" s="151"/>
      <c r="D932" s="151"/>
    </row>
    <row r="933">
      <c r="C933" s="151"/>
      <c r="D933" s="151"/>
    </row>
    <row r="934">
      <c r="C934" s="151"/>
      <c r="D934" s="151"/>
    </row>
    <row r="935">
      <c r="C935" s="151"/>
      <c r="D935" s="151"/>
    </row>
    <row r="936">
      <c r="C936" s="151"/>
      <c r="D936" s="151"/>
    </row>
    <row r="937">
      <c r="C937" s="151"/>
      <c r="D937" s="151"/>
    </row>
    <row r="938">
      <c r="C938" s="151"/>
      <c r="D938" s="151"/>
    </row>
    <row r="939">
      <c r="C939" s="151"/>
      <c r="D939" s="151"/>
    </row>
    <row r="940">
      <c r="C940" s="151"/>
      <c r="D940" s="151"/>
    </row>
    <row r="941">
      <c r="C941" s="151"/>
      <c r="D941" s="151"/>
    </row>
    <row r="942">
      <c r="C942" s="151"/>
      <c r="D942" s="151"/>
    </row>
    <row r="943">
      <c r="C943" s="151"/>
      <c r="D943" s="151"/>
    </row>
    <row r="944">
      <c r="C944" s="151"/>
      <c r="D944" s="151"/>
    </row>
    <row r="945">
      <c r="C945" s="151"/>
      <c r="D945" s="151"/>
    </row>
    <row r="946">
      <c r="C946" s="151"/>
      <c r="D946" s="151"/>
    </row>
    <row r="947">
      <c r="C947" s="151"/>
      <c r="D947" s="151"/>
    </row>
    <row r="948">
      <c r="C948" s="151"/>
      <c r="D948" s="151"/>
    </row>
    <row r="949">
      <c r="C949" s="151"/>
      <c r="D949" s="151"/>
    </row>
    <row r="950">
      <c r="C950" s="151"/>
      <c r="D950" s="151"/>
    </row>
    <row r="951">
      <c r="C951" s="151"/>
      <c r="D951" s="151"/>
    </row>
    <row r="952">
      <c r="C952" s="151"/>
      <c r="D952" s="151"/>
    </row>
    <row r="953">
      <c r="C953" s="151"/>
      <c r="D953" s="151"/>
    </row>
    <row r="954">
      <c r="C954" s="151"/>
      <c r="D954" s="151"/>
    </row>
    <row r="955">
      <c r="C955" s="151"/>
      <c r="D955" s="151"/>
    </row>
    <row r="956">
      <c r="C956" s="151"/>
      <c r="D956" s="151"/>
    </row>
    <row r="957">
      <c r="C957" s="151"/>
      <c r="D957" s="151"/>
    </row>
    <row r="958">
      <c r="C958" s="151"/>
      <c r="D958" s="151"/>
    </row>
    <row r="959">
      <c r="C959" s="151"/>
      <c r="D959" s="151"/>
    </row>
    <row r="960">
      <c r="C960" s="151"/>
      <c r="D960" s="151"/>
    </row>
    <row r="961">
      <c r="C961" s="151"/>
      <c r="D961" s="151"/>
    </row>
    <row r="962">
      <c r="C962" s="151"/>
      <c r="D962" s="151"/>
    </row>
    <row r="963">
      <c r="C963" s="151"/>
      <c r="D963" s="151"/>
    </row>
    <row r="964">
      <c r="C964" s="151"/>
      <c r="D964" s="151"/>
    </row>
    <row r="965">
      <c r="C965" s="151"/>
      <c r="D965" s="151"/>
    </row>
    <row r="966">
      <c r="C966" s="151"/>
      <c r="D966" s="151"/>
    </row>
    <row r="967">
      <c r="C967" s="151"/>
      <c r="D967" s="151"/>
    </row>
    <row r="968">
      <c r="C968" s="151"/>
      <c r="D968" s="151"/>
    </row>
    <row r="969">
      <c r="C969" s="151"/>
      <c r="D969" s="151"/>
    </row>
    <row r="970">
      <c r="C970" s="151"/>
      <c r="D970" s="151"/>
    </row>
    <row r="971">
      <c r="C971" s="151"/>
      <c r="D971" s="151"/>
    </row>
    <row r="972">
      <c r="C972" s="151"/>
      <c r="D972" s="151"/>
    </row>
    <row r="973">
      <c r="C973" s="151"/>
      <c r="D973" s="151"/>
    </row>
    <row r="974">
      <c r="C974" s="151"/>
      <c r="D974" s="151"/>
    </row>
    <row r="975">
      <c r="C975" s="151"/>
      <c r="D975" s="151"/>
    </row>
    <row r="976">
      <c r="C976" s="151"/>
      <c r="D976" s="151"/>
    </row>
    <row r="977">
      <c r="C977" s="151"/>
      <c r="D977" s="151"/>
    </row>
    <row r="978">
      <c r="C978" s="151"/>
      <c r="D978" s="151"/>
    </row>
    <row r="979">
      <c r="C979" s="151"/>
      <c r="D979" s="151"/>
    </row>
    <row r="980">
      <c r="C980" s="151"/>
      <c r="D980" s="151"/>
    </row>
    <row r="981">
      <c r="C981" s="151"/>
      <c r="D981" s="151"/>
    </row>
    <row r="982">
      <c r="C982" s="151"/>
      <c r="D982" s="151"/>
    </row>
    <row r="983">
      <c r="C983" s="151"/>
      <c r="D983" s="151"/>
    </row>
    <row r="984">
      <c r="C984" s="151"/>
      <c r="D984" s="151"/>
    </row>
    <row r="985">
      <c r="C985" s="151"/>
      <c r="D985" s="151"/>
    </row>
    <row r="986">
      <c r="C986" s="151"/>
      <c r="D986" s="151"/>
    </row>
    <row r="987">
      <c r="C987" s="151"/>
      <c r="D987" s="151"/>
    </row>
    <row r="988">
      <c r="C988" s="151"/>
      <c r="D988" s="151"/>
    </row>
    <row r="989">
      <c r="C989" s="151"/>
      <c r="D989" s="151"/>
    </row>
    <row r="990">
      <c r="C990" s="151"/>
      <c r="D990" s="151"/>
    </row>
    <row r="991">
      <c r="C991" s="151"/>
      <c r="D991" s="151"/>
    </row>
    <row r="992">
      <c r="C992" s="151"/>
      <c r="D992" s="151"/>
    </row>
    <row r="993">
      <c r="C993" s="151"/>
      <c r="D993" s="151"/>
    </row>
    <row r="994">
      <c r="C994" s="151"/>
      <c r="D994" s="151"/>
    </row>
    <row r="995">
      <c r="C995" s="151"/>
      <c r="D995" s="151"/>
    </row>
    <row r="996">
      <c r="C996" s="151"/>
    </row>
  </sheetData>
  <mergeCells count="2">
    <mergeCell ref="J6:K6"/>
    <mergeCell ref="J7:K7"/>
  </mergeCells>
  <dataValidations>
    <dataValidation type="custom" allowBlank="1" showDropDown="1" sqref="F2:F31">
      <formula1>AND(ISNUMBER(F2),(NOT(OR(NOT(ISERROR(DATEVALUE(F2))), AND(ISNUMBER(F2), LEFT(CELL("format", F2))="D")))))</formula1>
    </dataValidation>
    <dataValidation type="list" allowBlank="1" sqref="J2:J4 D2:D31">
      <formula1>"0%,25%,50%,100%"</formula1>
    </dataValidation>
  </dataValidations>
  <hyperlinks>
    <hyperlink r:id="rId1" ref="G6"/>
    <hyperlink r:id="rId2" ref="J6"/>
    <hyperlink r:id="rId3" ref="J7"/>
  </hyperlinks>
  <drawing r:id="rId4"/>
  <tableParts count="2">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0"/>
    <col customWidth="1" min="2" max="2" width="69.38"/>
    <col hidden="1" min="3" max="3" width="12.63"/>
    <col customWidth="1" min="5" max="5" width="12.13"/>
    <col customWidth="1" min="7" max="7" width="9.0"/>
  </cols>
  <sheetData>
    <row r="1">
      <c r="A1" s="2" t="s">
        <v>1</v>
      </c>
      <c r="B1" s="3" t="s">
        <v>5</v>
      </c>
      <c r="C1" s="4" t="s">
        <v>12</v>
      </c>
      <c r="D1" s="4" t="s">
        <v>17</v>
      </c>
      <c r="E1" s="7" t="s">
        <v>18</v>
      </c>
      <c r="F1" s="8"/>
      <c r="G1" s="10" t="str">
        <f t="shared" ref="G1:G2" si="2">A1</f>
        <v>Tiêu chí</v>
      </c>
      <c r="H1" s="12" t="str">
        <f t="shared" ref="H1:I1" si="1">D1</f>
        <v>Điểm đã đạt</v>
      </c>
      <c r="I1" s="12" t="str">
        <f t="shared" si="1"/>
        <v>Mức cộng/trừ điểm tối đa</v>
      </c>
      <c r="J1" s="15" t="s">
        <v>20</v>
      </c>
    </row>
    <row r="2">
      <c r="A2" s="19" t="s">
        <v>22</v>
      </c>
      <c r="B2" s="20" t="s">
        <v>25</v>
      </c>
      <c r="C2" s="24">
        <f>sum(D3,D4,D7,D10)</f>
        <v>15</v>
      </c>
      <c r="D2" s="24">
        <f>if(C2&lt;E2,C2,E2)</f>
        <v>15</v>
      </c>
      <c r="E2" s="26">
        <v>25.0</v>
      </c>
      <c r="F2" s="28"/>
      <c r="G2" s="32" t="str">
        <f t="shared" si="2"/>
        <v>1</v>
      </c>
      <c r="H2" s="36">
        <f t="shared" ref="H2:I2" si="3">D2</f>
        <v>15</v>
      </c>
      <c r="I2" s="36">
        <f t="shared" si="3"/>
        <v>25</v>
      </c>
      <c r="J2" s="40">
        <f t="shared" ref="J2:J6" si="5">H2/I2</f>
        <v>0.6</v>
      </c>
    </row>
    <row r="3">
      <c r="A3" s="41" t="s">
        <v>66</v>
      </c>
      <c r="B3" s="42" t="s">
        <v>69</v>
      </c>
      <c r="C3" s="48">
        <f>sumifs(Listing[Điểm],Listing[Mục],A3,Listing[Tình trạng],"100%")</f>
        <v>0</v>
      </c>
      <c r="D3" s="48">
        <v>15.0</v>
      </c>
      <c r="E3" s="49">
        <v>15.0</v>
      </c>
      <c r="F3" s="28"/>
      <c r="G3" s="50" t="str">
        <f>A14</f>
        <v>2</v>
      </c>
      <c r="H3" s="52">
        <f t="shared" ref="H3:I3" si="4">D14</f>
        <v>15</v>
      </c>
      <c r="I3" s="55">
        <f t="shared" si="4"/>
        <v>20</v>
      </c>
      <c r="J3" s="56">
        <f t="shared" si="5"/>
        <v>0.75</v>
      </c>
    </row>
    <row r="4">
      <c r="A4" s="57" t="s">
        <v>105</v>
      </c>
      <c r="B4" s="58" t="s">
        <v>106</v>
      </c>
      <c r="C4" s="63">
        <f>sumifs(Listing[Điểm],Listing[Mục],A4,Listing[Tình trạng],"100%")</f>
        <v>0</v>
      </c>
      <c r="D4" s="63">
        <f>SUM(D5:D6)</f>
        <v>0</v>
      </c>
      <c r="E4" s="66">
        <v>10.0</v>
      </c>
      <c r="F4" s="28"/>
      <c r="G4" s="50" t="str">
        <f>A60</f>
        <v>3</v>
      </c>
      <c r="H4" s="55">
        <f t="shared" ref="H4:I4" si="6">D60</f>
        <v>8.5</v>
      </c>
      <c r="I4" s="55">
        <f t="shared" si="6"/>
        <v>20</v>
      </c>
      <c r="J4" s="56">
        <f t="shared" si="5"/>
        <v>0.425</v>
      </c>
    </row>
    <row r="5">
      <c r="A5" s="69" t="s">
        <v>119</v>
      </c>
      <c r="B5" s="71" t="s">
        <v>121</v>
      </c>
      <c r="C5" s="76">
        <f>sumifs(Listing[Điểm],Listing[Mục],A5,Listing[Tình trạng],"100%")</f>
        <v>0</v>
      </c>
      <c r="D5" s="76">
        <f t="shared" ref="D5:D6" si="8">if(C5&lt;E5,C5,E5)</f>
        <v>0</v>
      </c>
      <c r="E5" s="80">
        <v>10.0</v>
      </c>
      <c r="F5" s="28"/>
      <c r="G5" s="50" t="str">
        <f>A99</f>
        <v>4</v>
      </c>
      <c r="H5" s="55">
        <f t="shared" ref="H5:I5" si="7">D99</f>
        <v>10</v>
      </c>
      <c r="I5" s="55">
        <f t="shared" si="7"/>
        <v>15</v>
      </c>
      <c r="J5" s="56">
        <f t="shared" si="5"/>
        <v>0.6666666667</v>
      </c>
    </row>
    <row r="6">
      <c r="A6" s="69" t="s">
        <v>128</v>
      </c>
      <c r="B6" s="71" t="s">
        <v>129</v>
      </c>
      <c r="C6" s="76">
        <f>sumifs(Listing[Điểm],Listing[Mục],A6,Listing[Tình trạng],"100%")</f>
        <v>0</v>
      </c>
      <c r="D6" s="76">
        <f t="shared" si="8"/>
        <v>0</v>
      </c>
      <c r="E6" s="80">
        <v>5.0</v>
      </c>
      <c r="F6" s="28"/>
      <c r="G6" s="86" t="str">
        <f>A105</f>
        <v>5</v>
      </c>
      <c r="H6" s="88">
        <f t="shared" ref="H6:I6" si="9">D105</f>
        <v>10</v>
      </c>
      <c r="I6" s="88">
        <f t="shared" si="9"/>
        <v>20</v>
      </c>
      <c r="J6" s="91">
        <f t="shared" si="5"/>
        <v>0.5</v>
      </c>
    </row>
    <row r="7">
      <c r="A7" s="57" t="s">
        <v>139</v>
      </c>
      <c r="B7" s="58" t="s">
        <v>141</v>
      </c>
      <c r="C7" s="63">
        <f>sumifs(Listing[Điểm],Listing[Mục],A7,Listing[Tình trạng],"100%")</f>
        <v>0</v>
      </c>
      <c r="D7" s="63">
        <f>sum(D8:D9)</f>
        <v>0</v>
      </c>
      <c r="E7" s="66">
        <v>-10.0</v>
      </c>
      <c r="F7" s="28"/>
      <c r="G7" s="104">
        <f>SUM(H2:H6)</f>
        <v>58.5</v>
      </c>
      <c r="H7" s="105"/>
      <c r="I7" s="105"/>
      <c r="J7" s="106"/>
    </row>
    <row r="8">
      <c r="A8" s="69" t="s">
        <v>161</v>
      </c>
      <c r="B8" s="71" t="s">
        <v>162</v>
      </c>
      <c r="C8" s="76">
        <f>sumifs(Listing[Điểm],Listing[Mục],A8,Listing[Tình trạng],"100%")</f>
        <v>0</v>
      </c>
      <c r="D8" s="76">
        <f t="shared" ref="D8:D9" si="10">if(C8&gt;E8,C8,E8)</f>
        <v>0</v>
      </c>
      <c r="E8" s="80">
        <v>-10.0</v>
      </c>
      <c r="F8" s="28"/>
      <c r="G8" s="28"/>
    </row>
    <row r="9">
      <c r="A9" s="69" t="s">
        <v>176</v>
      </c>
      <c r="B9" s="71" t="s">
        <v>177</v>
      </c>
      <c r="C9" s="76">
        <f>sumifs(Listing[Điểm],Listing[Mục],A9,Listing[Tình trạng],"100%")</f>
        <v>0</v>
      </c>
      <c r="D9" s="76">
        <f t="shared" si="10"/>
        <v>0</v>
      </c>
      <c r="E9" s="80">
        <v>-10.0</v>
      </c>
      <c r="F9" s="28"/>
      <c r="G9" s="28"/>
    </row>
    <row r="10">
      <c r="A10" s="57" t="s">
        <v>179</v>
      </c>
      <c r="B10" s="58" t="s">
        <v>180</v>
      </c>
      <c r="C10" s="63">
        <f>sumifs(Listing[Điểm],Listing[Mục],A10,Listing[Tình trạng],"100%")</f>
        <v>0</v>
      </c>
      <c r="D10" s="63">
        <f>sum(D11:D13)</f>
        <v>0</v>
      </c>
      <c r="E10" s="66">
        <v>-10.0</v>
      </c>
      <c r="F10" s="28"/>
      <c r="G10" s="28"/>
    </row>
    <row r="11">
      <c r="A11" s="69" t="s">
        <v>182</v>
      </c>
      <c r="B11" s="71" t="s">
        <v>183</v>
      </c>
      <c r="C11" s="76">
        <f>sumifs(Listing[Điểm],Listing[Mục],A11,Listing[Tình trạng],"100%")</f>
        <v>0</v>
      </c>
      <c r="D11" s="76">
        <f t="shared" ref="D11:D13" si="11">if(C11&gt;E11,C11,E11)</f>
        <v>0</v>
      </c>
      <c r="E11" s="80">
        <v>-10.0</v>
      </c>
      <c r="F11" s="28"/>
      <c r="G11" s="28"/>
    </row>
    <row r="12">
      <c r="A12" s="69" t="s">
        <v>185</v>
      </c>
      <c r="B12" s="71" t="s">
        <v>186</v>
      </c>
      <c r="C12" s="76">
        <f>sumifs(Listing[Điểm],Listing[Mục],A12,Listing[Tình trạng],"100%")</f>
        <v>0</v>
      </c>
      <c r="D12" s="76">
        <f t="shared" si="11"/>
        <v>0</v>
      </c>
      <c r="E12" s="80">
        <v>-10.0</v>
      </c>
      <c r="F12" s="28"/>
      <c r="G12" s="28"/>
    </row>
    <row r="13">
      <c r="A13" s="120" t="s">
        <v>187</v>
      </c>
      <c r="B13" s="121" t="s">
        <v>188</v>
      </c>
      <c r="C13" s="124">
        <f>sumifs(Listing[Điểm],Listing[Mục],A13,Listing[Tình trạng],"100%")</f>
        <v>0</v>
      </c>
      <c r="D13" s="124">
        <f t="shared" si="11"/>
        <v>0</v>
      </c>
      <c r="E13" s="125">
        <v>-10.0</v>
      </c>
      <c r="F13" s="28"/>
      <c r="G13" s="28"/>
    </row>
    <row r="14">
      <c r="A14" s="126" t="s">
        <v>190</v>
      </c>
      <c r="B14" s="127" t="s">
        <v>191</v>
      </c>
      <c r="C14" s="24">
        <f>sum(D15,D16,D29,D36,D37,D38,D42,D57)</f>
        <v>15</v>
      </c>
      <c r="D14" s="24">
        <f>if(C14&lt;E14,C14,E14)</f>
        <v>15</v>
      </c>
      <c r="E14" s="128">
        <v>20.0</v>
      </c>
      <c r="F14" s="28"/>
      <c r="G14" s="28"/>
    </row>
    <row r="15">
      <c r="A15" s="41" t="s">
        <v>192</v>
      </c>
      <c r="B15" s="42" t="s">
        <v>193</v>
      </c>
      <c r="C15" s="48">
        <f>sumifs(Listing[Điểm],Listing[Mục],A15,Listing[Tình trạng],"100%")</f>
        <v>0</v>
      </c>
      <c r="D15" s="48">
        <v>10.0</v>
      </c>
      <c r="E15" s="49">
        <v>10.0</v>
      </c>
      <c r="F15" s="129"/>
      <c r="G15" s="130"/>
      <c r="H15" s="131"/>
      <c r="I15" s="131"/>
      <c r="J15" s="129"/>
      <c r="K15" s="130"/>
      <c r="L15" s="131"/>
      <c r="M15" s="131"/>
      <c r="N15" s="129"/>
      <c r="O15" s="130"/>
      <c r="P15" s="131"/>
      <c r="Q15" s="131"/>
      <c r="R15" s="129"/>
      <c r="S15" s="130"/>
      <c r="T15" s="131"/>
      <c r="U15" s="131"/>
      <c r="V15" s="129"/>
      <c r="W15" s="130"/>
      <c r="X15" s="131"/>
      <c r="Y15" s="131"/>
      <c r="Z15" s="129"/>
      <c r="AA15" s="130"/>
      <c r="AB15" s="131"/>
      <c r="AC15" s="131"/>
    </row>
    <row r="16">
      <c r="A16" s="57" t="s">
        <v>194</v>
      </c>
      <c r="B16" s="132" t="s">
        <v>195</v>
      </c>
      <c r="C16" s="133">
        <f>sumifs(Listing[Điểm],Listing[Mục],A16,Listing[Tình trạng],"100%")</f>
        <v>0</v>
      </c>
      <c r="D16" s="133">
        <f>sum(D17,D24)</f>
        <v>4</v>
      </c>
      <c r="E16" s="66">
        <v>5.0</v>
      </c>
      <c r="F16" s="28"/>
      <c r="G16" s="28"/>
    </row>
    <row r="17">
      <c r="A17" s="134" t="s">
        <v>196</v>
      </c>
      <c r="B17" s="135" t="s">
        <v>197</v>
      </c>
      <c r="C17" s="136">
        <f>sumifs(Listing[Điểm],Listing[Mục],A17,Listing[Tình trạng],"100%")</f>
        <v>0</v>
      </c>
      <c r="D17" s="136">
        <f>sum(D18:D23)</f>
        <v>4</v>
      </c>
      <c r="E17" s="137">
        <v>5.0</v>
      </c>
      <c r="F17" s="28"/>
      <c r="G17" s="28"/>
    </row>
    <row r="18">
      <c r="A18" s="69" t="s">
        <v>198</v>
      </c>
      <c r="B18" s="138" t="s">
        <v>199</v>
      </c>
      <c r="C18" s="140">
        <f>sumifs(Listing[Điểm],Listing[Mục],A18,Listing[Tình trạng],"100%")</f>
        <v>0</v>
      </c>
      <c r="D18" s="140">
        <f t="shared" ref="D18:D21" si="12">if(C18&lt;E18,C18,E18)</f>
        <v>0</v>
      </c>
      <c r="E18" s="80">
        <v>0.0</v>
      </c>
      <c r="F18" s="28"/>
      <c r="G18" s="28"/>
    </row>
    <row r="19">
      <c r="A19" s="69" t="s">
        <v>200</v>
      </c>
      <c r="B19" s="138" t="s">
        <v>201</v>
      </c>
      <c r="C19" s="140">
        <f>sumifs(Listing[Điểm],Listing[Mục],A19,Listing[Tình trạng],"100%")</f>
        <v>0</v>
      </c>
      <c r="D19" s="140">
        <f t="shared" si="12"/>
        <v>0</v>
      </c>
      <c r="E19" s="80">
        <v>1.0</v>
      </c>
      <c r="F19" s="28"/>
      <c r="G19" s="28"/>
    </row>
    <row r="20">
      <c r="A20" s="69" t="s">
        <v>202</v>
      </c>
      <c r="B20" s="138" t="s">
        <v>203</v>
      </c>
      <c r="C20" s="140">
        <f>sumifs(Listing[Điểm],Listing[Mục],A20,Listing[Tình trạng],"100%")</f>
        <v>0</v>
      </c>
      <c r="D20" s="140">
        <f t="shared" si="12"/>
        <v>0</v>
      </c>
      <c r="E20" s="80">
        <v>2.0</v>
      </c>
      <c r="F20" s="28"/>
      <c r="G20" s="28"/>
    </row>
    <row r="21">
      <c r="A21" s="69" t="s">
        <v>204</v>
      </c>
      <c r="B21" s="138" t="s">
        <v>205</v>
      </c>
      <c r="C21" s="140">
        <f>sumifs(Listing[Điểm],Listing[Mục],A21,Listing[Tình trạng],"100%")</f>
        <v>0</v>
      </c>
      <c r="D21" s="140">
        <f t="shared" si="12"/>
        <v>0</v>
      </c>
      <c r="E21" s="80">
        <v>3.0</v>
      </c>
      <c r="F21" s="28"/>
      <c r="G21" s="28"/>
    </row>
    <row r="22">
      <c r="A22" s="143" t="s">
        <v>206</v>
      </c>
      <c r="B22" s="42" t="s">
        <v>207</v>
      </c>
      <c r="C22" s="48">
        <f>sumifs(Listing[Điểm],Listing[Mục],A22,Listing[Tình trạng],"100%")</f>
        <v>0</v>
      </c>
      <c r="D22" s="48">
        <v>4.0</v>
      </c>
      <c r="E22" s="49">
        <v>4.0</v>
      </c>
      <c r="F22" s="129"/>
      <c r="G22" s="130"/>
      <c r="H22" s="131"/>
      <c r="I22" s="131"/>
      <c r="J22" s="129"/>
      <c r="K22" s="130"/>
      <c r="L22" s="131"/>
      <c r="M22" s="131"/>
      <c r="N22" s="129"/>
      <c r="O22" s="130"/>
      <c r="P22" s="131"/>
      <c r="Q22" s="131"/>
      <c r="R22" s="129"/>
      <c r="S22" s="130"/>
      <c r="T22" s="131"/>
      <c r="U22" s="131"/>
      <c r="V22" s="129"/>
      <c r="W22" s="130"/>
      <c r="X22" s="131"/>
      <c r="Y22" s="131"/>
      <c r="Z22" s="129"/>
      <c r="AA22" s="130"/>
      <c r="AB22" s="131"/>
      <c r="AC22" s="131"/>
    </row>
    <row r="23">
      <c r="A23" s="69" t="s">
        <v>208</v>
      </c>
      <c r="B23" s="138" t="s">
        <v>209</v>
      </c>
      <c r="C23" s="140">
        <f>sumifs(Listing[Điểm],Listing[Mục],A23,Listing[Tình trạng],"100%")</f>
        <v>0</v>
      </c>
      <c r="D23" s="140">
        <f>if(C23&lt;E23,C23,E23)</f>
        <v>0</v>
      </c>
      <c r="E23" s="80">
        <v>5.0</v>
      </c>
      <c r="F23" s="28"/>
      <c r="G23" s="28"/>
    </row>
    <row r="24">
      <c r="A24" s="145" t="s">
        <v>210</v>
      </c>
      <c r="B24" s="135" t="s">
        <v>211</v>
      </c>
      <c r="C24" s="136">
        <f>sumifs(Listing[Điểm],Listing[Mục],A24,Listing[Tình trạng],"100%")</f>
        <v>0</v>
      </c>
      <c r="D24" s="136">
        <f>sum(D25:D28)</f>
        <v>0</v>
      </c>
      <c r="E24" s="137">
        <v>-10.0</v>
      </c>
      <c r="F24" s="28"/>
      <c r="G24" s="28"/>
    </row>
    <row r="25">
      <c r="A25" s="147" t="s">
        <v>212</v>
      </c>
      <c r="B25" s="138" t="s">
        <v>213</v>
      </c>
      <c r="C25" s="140">
        <f>sumifs(Listing[Điểm],Listing[Mục],A25,Listing[Tình trạng],"100%")</f>
        <v>0</v>
      </c>
      <c r="D25" s="140">
        <f t="shared" ref="D25:D28" si="13">if(C25&gt;E25,C25,E25)</f>
        <v>0</v>
      </c>
      <c r="E25" s="80">
        <v>-10.0</v>
      </c>
      <c r="F25" s="28"/>
      <c r="G25" s="28"/>
    </row>
    <row r="26">
      <c r="A26" s="147" t="s">
        <v>214</v>
      </c>
      <c r="B26" s="138" t="s">
        <v>215</v>
      </c>
      <c r="C26" s="140">
        <f>sumifs(Listing[Điểm],Listing[Mục],A26,Listing[Tình trạng],"100%")</f>
        <v>0</v>
      </c>
      <c r="D26" s="140">
        <f t="shared" si="13"/>
        <v>0</v>
      </c>
      <c r="E26" s="80">
        <v>-10.0</v>
      </c>
      <c r="F26" s="28"/>
      <c r="G26" s="28"/>
    </row>
    <row r="27">
      <c r="A27" s="147" t="s">
        <v>216</v>
      </c>
      <c r="B27" s="138" t="s">
        <v>217</v>
      </c>
      <c r="C27" s="140">
        <f>sumifs(Listing[Điểm],Listing[Mục],A27,Listing[Tình trạng],"100%")</f>
        <v>0</v>
      </c>
      <c r="D27" s="140">
        <f t="shared" si="13"/>
        <v>0</v>
      </c>
      <c r="E27" s="80">
        <v>-10.0</v>
      </c>
      <c r="F27" s="28"/>
      <c r="G27" s="28"/>
    </row>
    <row r="28">
      <c r="A28" s="147" t="s">
        <v>218</v>
      </c>
      <c r="B28" s="138" t="s">
        <v>219</v>
      </c>
      <c r="C28" s="140">
        <f>sumifs(Listing[Điểm],Listing[Mục],A28,Listing[Tình trạng],"100%")</f>
        <v>0</v>
      </c>
      <c r="D28" s="140">
        <f t="shared" si="13"/>
        <v>0</v>
      </c>
      <c r="E28" s="80">
        <v>-10.0</v>
      </c>
      <c r="F28" s="28"/>
      <c r="G28" s="28"/>
    </row>
    <row r="29">
      <c r="A29" s="148" t="s">
        <v>220</v>
      </c>
      <c r="B29" s="132" t="s">
        <v>221</v>
      </c>
      <c r="C29" s="133">
        <f>sumifs(Listing[Điểm],Listing[Mục],A29,Listing[Tình trạng],"100%")</f>
        <v>0</v>
      </c>
      <c r="D29" s="133">
        <f>sum(D30,D33)</f>
        <v>0</v>
      </c>
      <c r="E29" s="66">
        <v>10.0</v>
      </c>
      <c r="F29" s="28"/>
      <c r="G29" s="28"/>
    </row>
    <row r="30">
      <c r="A30" s="145" t="s">
        <v>222</v>
      </c>
      <c r="B30" s="135" t="s">
        <v>223</v>
      </c>
      <c r="C30" s="136">
        <f>sumifs(Listing[Điểm],Listing[Mục],A30,Listing[Tình trạng],"100%")</f>
        <v>0</v>
      </c>
      <c r="D30" s="136">
        <f>SUM(D31:D32)</f>
        <v>0</v>
      </c>
      <c r="E30" s="137">
        <v>5.0</v>
      </c>
      <c r="F30" s="28"/>
      <c r="G30" s="28"/>
    </row>
    <row r="31">
      <c r="A31" s="147" t="s">
        <v>224</v>
      </c>
      <c r="B31" s="138" t="s">
        <v>225</v>
      </c>
      <c r="C31" s="140">
        <f>sumifs(Listing[Điểm],Listing[Mục],A31,Listing[Tình trạng],"100%")</f>
        <v>0</v>
      </c>
      <c r="D31" s="140">
        <f t="shared" ref="D31:D32" si="14">if(C31&lt;E31,C31,E31)</f>
        <v>0</v>
      </c>
      <c r="E31" s="80">
        <v>3.0</v>
      </c>
      <c r="F31" s="28"/>
      <c r="G31" s="28"/>
    </row>
    <row r="32">
      <c r="A32" s="147" t="s">
        <v>226</v>
      </c>
      <c r="B32" s="138" t="s">
        <v>227</v>
      </c>
      <c r="C32" s="140">
        <f>sumifs(Listing[Điểm],Listing[Mục],A32,Listing[Tình trạng],"100%")</f>
        <v>0</v>
      </c>
      <c r="D32" s="140">
        <f t="shared" si="14"/>
        <v>0</v>
      </c>
      <c r="E32" s="80">
        <v>5.0</v>
      </c>
      <c r="F32" s="28"/>
      <c r="G32" s="28"/>
    </row>
    <row r="33">
      <c r="A33" s="145" t="s">
        <v>228</v>
      </c>
      <c r="B33" s="135" t="s">
        <v>229</v>
      </c>
      <c r="C33" s="136">
        <f>sumifs(Listing[Điểm],Listing[Mục],A33,Listing[Tình trạng],"100%")</f>
        <v>0</v>
      </c>
      <c r="D33" s="136">
        <f>SUM(D34:D35)</f>
        <v>0</v>
      </c>
      <c r="E33" s="137">
        <v>10.0</v>
      </c>
      <c r="F33" s="28"/>
      <c r="G33" s="28"/>
    </row>
    <row r="34">
      <c r="A34" s="147" t="s">
        <v>230</v>
      </c>
      <c r="B34" s="138" t="s">
        <v>225</v>
      </c>
      <c r="C34" s="140">
        <f>sumifs(Listing[Điểm],Listing[Mục],A34,Listing[Tình trạng],"100%")</f>
        <v>0</v>
      </c>
      <c r="D34" s="140">
        <f t="shared" ref="D34:D37" si="15">if(C34&lt;E34,C34,E34)</f>
        <v>0</v>
      </c>
      <c r="E34" s="80">
        <v>5.0</v>
      </c>
      <c r="F34" s="28"/>
      <c r="G34" s="28"/>
    </row>
    <row r="35">
      <c r="A35" s="147" t="s">
        <v>231</v>
      </c>
      <c r="B35" s="138" t="s">
        <v>227</v>
      </c>
      <c r="C35" s="140">
        <f>sumifs(Listing[Điểm],Listing[Mục],A35,Listing[Tình trạng],"100%")</f>
        <v>0</v>
      </c>
      <c r="D35" s="140">
        <f t="shared" si="15"/>
        <v>0</v>
      </c>
      <c r="E35" s="80">
        <v>10.0</v>
      </c>
      <c r="F35" s="28"/>
      <c r="G35" s="28"/>
    </row>
    <row r="36">
      <c r="A36" s="148" t="s">
        <v>232</v>
      </c>
      <c r="B36" s="132" t="s">
        <v>233</v>
      </c>
      <c r="C36" s="133">
        <f>sumifs(Listing[Điểm],Listing[Mục],A36,Listing[Tình trạng],"100%")</f>
        <v>0</v>
      </c>
      <c r="D36" s="133">
        <f t="shared" si="15"/>
        <v>0</v>
      </c>
      <c r="E36" s="66">
        <v>10.0</v>
      </c>
      <c r="F36" s="28"/>
      <c r="G36" s="28"/>
    </row>
    <row r="37">
      <c r="A37" s="148" t="s">
        <v>234</v>
      </c>
      <c r="B37" s="132" t="s">
        <v>235</v>
      </c>
      <c r="C37" s="133">
        <f>sumifs(Listing[Điểm],Listing[Mục],A37,Listing[Tình trạng],"100%")</f>
        <v>0</v>
      </c>
      <c r="D37" s="133">
        <f t="shared" si="15"/>
        <v>0</v>
      </c>
      <c r="E37" s="66">
        <v>5.0</v>
      </c>
      <c r="F37" s="28"/>
      <c r="G37" s="28"/>
    </row>
    <row r="38">
      <c r="A38" s="148" t="s">
        <v>236</v>
      </c>
      <c r="B38" s="132" t="s">
        <v>237</v>
      </c>
      <c r="C38" s="133">
        <f>sumifs(Listing[Điểm],Listing[Mục],A38,Listing[Tình trạng],"100%")</f>
        <v>0</v>
      </c>
      <c r="D38" s="133">
        <f>sum(D39:D41)</f>
        <v>0</v>
      </c>
      <c r="E38" s="66">
        <v>5.0</v>
      </c>
      <c r="F38" s="28"/>
      <c r="G38" s="28"/>
    </row>
    <row r="39">
      <c r="A39" s="147" t="s">
        <v>238</v>
      </c>
      <c r="B39" s="138" t="s">
        <v>239</v>
      </c>
      <c r="C39" s="140">
        <f>sumifs(Listing[Điểm],Listing[Mục],A39,Listing[Tình trạng],"100%")</f>
        <v>0</v>
      </c>
      <c r="D39" s="140">
        <f t="shared" ref="D39:D41" si="16">if(C39&lt;E39,C39,E39)</f>
        <v>0</v>
      </c>
      <c r="E39" s="80">
        <v>3.0</v>
      </c>
      <c r="F39" s="28"/>
      <c r="G39" s="28"/>
    </row>
    <row r="40">
      <c r="A40" s="147" t="s">
        <v>240</v>
      </c>
      <c r="B40" s="138" t="s">
        <v>241</v>
      </c>
      <c r="C40" s="140">
        <f>sumifs(Listing[Điểm],Listing[Mục],A40,Listing[Tình trạng],"100%")</f>
        <v>0</v>
      </c>
      <c r="D40" s="140">
        <f t="shared" si="16"/>
        <v>0</v>
      </c>
      <c r="E40" s="80">
        <v>4.0</v>
      </c>
      <c r="F40" s="28"/>
      <c r="G40" s="28"/>
    </row>
    <row r="41">
      <c r="A41" s="147" t="s">
        <v>242</v>
      </c>
      <c r="B41" s="138" t="s">
        <v>243</v>
      </c>
      <c r="C41" s="140">
        <f>sumifs(Listing[Điểm],Listing[Mục],A41,Listing[Tình trạng],"100%")</f>
        <v>0</v>
      </c>
      <c r="D41" s="140">
        <f t="shared" si="16"/>
        <v>0</v>
      </c>
      <c r="E41" s="80">
        <v>5.0</v>
      </c>
      <c r="F41" s="28"/>
      <c r="G41" s="28"/>
    </row>
    <row r="42">
      <c r="A42" s="148" t="s">
        <v>244</v>
      </c>
      <c r="B42" s="132" t="s">
        <v>245</v>
      </c>
      <c r="C42" s="133">
        <f>sumifs(Listing[Điểm],Listing[Mục],A42,Listing[Tình trạng],"100%")</f>
        <v>0</v>
      </c>
      <c r="D42" s="133">
        <f>sum(D43:D45,D51)</f>
        <v>1</v>
      </c>
      <c r="E42" s="66">
        <v>10.0</v>
      </c>
      <c r="F42" s="28"/>
      <c r="G42" s="28"/>
    </row>
    <row r="43">
      <c r="A43" s="145" t="s">
        <v>246</v>
      </c>
      <c r="B43" s="135" t="s">
        <v>247</v>
      </c>
      <c r="C43" s="136">
        <f>sumifs(Listing[Điểm],Listing[Mục],A43,Listing[Tình trạng],"100%")</f>
        <v>0</v>
      </c>
      <c r="D43" s="136">
        <f t="shared" ref="D43:D44" si="17">if(C43&lt;E43,C43,E43)</f>
        <v>0</v>
      </c>
      <c r="E43" s="137">
        <v>2.0</v>
      </c>
      <c r="F43" s="28"/>
      <c r="G43" s="28"/>
    </row>
    <row r="44">
      <c r="A44" s="145" t="s">
        <v>248</v>
      </c>
      <c r="B44" s="135" t="s">
        <v>249</v>
      </c>
      <c r="C44" s="136">
        <f>sumifs(Listing[Điểm],Listing[Mục],A44,Listing[Tình trạng],"100%")</f>
        <v>0</v>
      </c>
      <c r="D44" s="136">
        <f t="shared" si="17"/>
        <v>0</v>
      </c>
      <c r="E44" s="137">
        <v>5.0</v>
      </c>
      <c r="F44" s="28"/>
      <c r="G44" s="28"/>
    </row>
    <row r="45">
      <c r="A45" s="145" t="s">
        <v>250</v>
      </c>
      <c r="B45" s="135" t="s">
        <v>251</v>
      </c>
      <c r="C45" s="136">
        <f>sumifs(Listing[Điểm],Listing[Mục],A45,Listing[Tình trạng],"100%")</f>
        <v>0</v>
      </c>
      <c r="D45" s="136">
        <f>sum(D46:D50)</f>
        <v>1</v>
      </c>
      <c r="E45" s="137">
        <v>10.0</v>
      </c>
      <c r="F45" s="28"/>
      <c r="G45" s="28"/>
    </row>
    <row r="46">
      <c r="A46" s="147" t="s">
        <v>252</v>
      </c>
      <c r="B46" s="138" t="s">
        <v>253</v>
      </c>
      <c r="C46" s="140">
        <f>sumifs(Listing[Điểm],Listing[Mục],A46,Listing[Tình trạng],"100%")</f>
        <v>0</v>
      </c>
      <c r="D46" s="140">
        <f t="shared" ref="D46:D50" si="18">if(C46&lt;E46,C46,E46)</f>
        <v>0</v>
      </c>
      <c r="E46" s="80">
        <v>5.0</v>
      </c>
      <c r="F46" s="28"/>
      <c r="G46" s="28"/>
    </row>
    <row r="47">
      <c r="A47" s="147" t="s">
        <v>153</v>
      </c>
      <c r="B47" s="138" t="s">
        <v>254</v>
      </c>
      <c r="C47" s="140">
        <f>sumifs(Listing[Điểm],Listing[Mục],A47,Listing[Tình trạng],"100%")</f>
        <v>1</v>
      </c>
      <c r="D47" s="140">
        <f t="shared" si="18"/>
        <v>1</v>
      </c>
      <c r="E47" s="80">
        <v>5.0</v>
      </c>
      <c r="F47" s="28"/>
      <c r="G47" s="28"/>
    </row>
    <row r="48">
      <c r="A48" s="147" t="s">
        <v>255</v>
      </c>
      <c r="B48" s="138" t="s">
        <v>256</v>
      </c>
      <c r="C48" s="140">
        <f>sumifs(Listing[Điểm],Listing[Mục],A48,Listing[Tình trạng],"100%")</f>
        <v>0</v>
      </c>
      <c r="D48" s="140">
        <f t="shared" si="18"/>
        <v>0</v>
      </c>
      <c r="E48" s="80">
        <v>5.0</v>
      </c>
      <c r="F48" s="28"/>
      <c r="G48" s="28"/>
    </row>
    <row r="49">
      <c r="A49" s="147" t="s">
        <v>257</v>
      </c>
      <c r="B49" s="138" t="s">
        <v>258</v>
      </c>
      <c r="C49" s="140">
        <f>sumifs(Listing[Điểm],Listing[Mục],A49,Listing[Tình trạng],"100%")</f>
        <v>0</v>
      </c>
      <c r="D49" s="140">
        <f t="shared" si="18"/>
        <v>0</v>
      </c>
      <c r="E49" s="80">
        <v>5.0</v>
      </c>
      <c r="F49" s="28"/>
      <c r="G49" s="28"/>
    </row>
    <row r="50">
      <c r="A50" s="147" t="s">
        <v>259</v>
      </c>
      <c r="B50" s="138" t="s">
        <v>260</v>
      </c>
      <c r="C50" s="140">
        <f>sumifs(Listing[Điểm],Listing[Mục],A50,Listing[Tình trạng],"100%")</f>
        <v>0</v>
      </c>
      <c r="D50" s="140">
        <f t="shared" si="18"/>
        <v>0</v>
      </c>
      <c r="E50" s="80">
        <v>2.0</v>
      </c>
      <c r="F50" s="28"/>
      <c r="G50" s="28"/>
    </row>
    <row r="51">
      <c r="A51" s="145" t="s">
        <v>261</v>
      </c>
      <c r="B51" s="135" t="s">
        <v>262</v>
      </c>
      <c r="C51" s="136">
        <f>sumifs(Listing[Điểm],Listing[Mục],A51,Listing[Tình trạng],"100%")</f>
        <v>0</v>
      </c>
      <c r="D51" s="136">
        <f>sum(D52:D56)</f>
        <v>0</v>
      </c>
      <c r="E51" s="137">
        <v>10.0</v>
      </c>
      <c r="F51" s="152"/>
      <c r="G51" s="152"/>
      <c r="H51" s="153"/>
      <c r="I51" s="153"/>
      <c r="J51" s="153"/>
      <c r="K51" s="153"/>
      <c r="L51" s="153"/>
      <c r="M51" s="153"/>
      <c r="N51" s="153"/>
      <c r="O51" s="153"/>
      <c r="P51" s="153"/>
      <c r="Q51" s="153"/>
      <c r="R51" s="153"/>
      <c r="S51" s="153"/>
      <c r="T51" s="153"/>
      <c r="U51" s="153"/>
      <c r="V51" s="153"/>
      <c r="W51" s="153"/>
      <c r="X51" s="153"/>
      <c r="Y51" s="153"/>
      <c r="Z51" s="153"/>
      <c r="AA51" s="153"/>
      <c r="AB51" s="153"/>
      <c r="AC51" s="153"/>
    </row>
    <row r="52">
      <c r="A52" s="147" t="s">
        <v>263</v>
      </c>
      <c r="B52" s="138" t="s">
        <v>264</v>
      </c>
      <c r="C52" s="140">
        <f>sumifs(Listing[Điểm],Listing[Mục],A52,Listing[Tình trạng],"100%")</f>
        <v>0</v>
      </c>
      <c r="D52" s="140">
        <f t="shared" ref="D52:D56" si="19">if(C52&lt;E52,C52,E52)</f>
        <v>0</v>
      </c>
      <c r="E52" s="80">
        <v>5.0</v>
      </c>
      <c r="F52" s="28"/>
      <c r="G52" s="28"/>
    </row>
    <row r="53">
      <c r="A53" s="147" t="s">
        <v>265</v>
      </c>
      <c r="B53" s="138" t="s">
        <v>266</v>
      </c>
      <c r="C53" s="140">
        <f>sumifs(Listing[Điểm],Listing[Mục],A53,Listing[Tình trạng],"100%")</f>
        <v>0</v>
      </c>
      <c r="D53" s="140">
        <f t="shared" si="19"/>
        <v>0</v>
      </c>
      <c r="E53" s="80">
        <v>5.0</v>
      </c>
      <c r="F53" s="28"/>
      <c r="G53" s="28"/>
    </row>
    <row r="54">
      <c r="A54" s="147" t="s">
        <v>267</v>
      </c>
      <c r="B54" s="138" t="s">
        <v>268</v>
      </c>
      <c r="C54" s="140">
        <f>sumifs(Listing[Điểm],Listing[Mục],A54,Listing[Tình trạng],"100%")</f>
        <v>0</v>
      </c>
      <c r="D54" s="140">
        <f t="shared" si="19"/>
        <v>0</v>
      </c>
      <c r="E54" s="80">
        <v>5.0</v>
      </c>
      <c r="F54" s="28"/>
      <c r="G54" s="28"/>
    </row>
    <row r="55">
      <c r="A55" s="147" t="s">
        <v>269</v>
      </c>
      <c r="B55" s="138" t="s">
        <v>258</v>
      </c>
      <c r="C55" s="140">
        <f>sumifs(Listing[Điểm],Listing[Mục],A55,Listing[Tình trạng],"100%")</f>
        <v>0</v>
      </c>
      <c r="D55" s="140">
        <f t="shared" si="19"/>
        <v>0</v>
      </c>
      <c r="E55" s="80">
        <v>5.0</v>
      </c>
      <c r="F55" s="28"/>
      <c r="G55" s="28"/>
    </row>
    <row r="56">
      <c r="A56" s="147" t="s">
        <v>270</v>
      </c>
      <c r="B56" s="138" t="s">
        <v>271</v>
      </c>
      <c r="C56" s="140">
        <f>sumifs(Listing[Điểm],Listing[Mục],A56,Listing[Tình trạng],"100%")</f>
        <v>0</v>
      </c>
      <c r="D56" s="140">
        <f t="shared" si="19"/>
        <v>0</v>
      </c>
      <c r="E56" s="80">
        <v>2.0</v>
      </c>
      <c r="F56" s="28"/>
      <c r="G56" s="28"/>
    </row>
    <row r="57">
      <c r="A57" s="148" t="s">
        <v>272</v>
      </c>
      <c r="B57" s="132" t="s">
        <v>273</v>
      </c>
      <c r="C57" s="133">
        <f>sumifs(Listing[Điểm],Listing[Mục],A57,Listing[Tình trạng],"100%")</f>
        <v>0</v>
      </c>
      <c r="D57" s="133">
        <f>SUM(D58:D59)</f>
        <v>0</v>
      </c>
      <c r="E57" s="66">
        <v>-15.0</v>
      </c>
      <c r="F57" s="28"/>
      <c r="G57" s="28"/>
    </row>
    <row r="58">
      <c r="A58" s="147" t="s">
        <v>274</v>
      </c>
      <c r="B58" s="138" t="s">
        <v>275</v>
      </c>
      <c r="C58" s="140">
        <f>sumifs(Listing[Điểm],Listing[Mục],A58,Listing[Tình trạng],"100%")</f>
        <v>0</v>
      </c>
      <c r="D58" s="140">
        <f t="shared" ref="D58:D59" si="20">if(C58&gt;E58,C58,E58)</f>
        <v>0</v>
      </c>
      <c r="E58" s="80">
        <v>-15.0</v>
      </c>
      <c r="F58" s="28"/>
      <c r="G58" s="28"/>
    </row>
    <row r="59">
      <c r="A59" s="154" t="s">
        <v>276</v>
      </c>
      <c r="B59" s="155" t="s">
        <v>277</v>
      </c>
      <c r="C59" s="156">
        <f>sumifs(Listing[Điểm],Listing[Mục],A59,Listing[Tình trạng],"100%")</f>
        <v>0</v>
      </c>
      <c r="D59" s="156">
        <f t="shared" si="20"/>
        <v>0</v>
      </c>
      <c r="E59" s="125">
        <v>-15.0</v>
      </c>
      <c r="F59" s="28"/>
      <c r="G59" s="28"/>
    </row>
    <row r="60">
      <c r="A60" s="126" t="s">
        <v>278</v>
      </c>
      <c r="B60" s="127" t="s">
        <v>279</v>
      </c>
      <c r="C60" s="24">
        <f>sum(D61,D62,D63,D77,D91,D94,D95,D96)</f>
        <v>8.5</v>
      </c>
      <c r="D60" s="24">
        <f>if(C60&lt;E60,C60,E60)</f>
        <v>8.5</v>
      </c>
      <c r="E60" s="128">
        <v>20.0</v>
      </c>
      <c r="F60" s="28"/>
      <c r="G60" s="28"/>
    </row>
    <row r="61">
      <c r="A61" s="41" t="s">
        <v>280</v>
      </c>
      <c r="B61" s="42" t="s">
        <v>281</v>
      </c>
      <c r="C61" s="48">
        <f>sumifs(Listing[Điểm],Listing[Mục],A61,Listing[Tình trạng],"100%")</f>
        <v>0</v>
      </c>
      <c r="D61" s="48">
        <v>5.0</v>
      </c>
      <c r="E61" s="49">
        <v>5.0</v>
      </c>
      <c r="F61" s="129"/>
      <c r="G61" s="130"/>
      <c r="H61" s="131"/>
      <c r="I61" s="131"/>
      <c r="J61" s="129"/>
      <c r="K61" s="130"/>
      <c r="L61" s="131"/>
      <c r="M61" s="131"/>
      <c r="N61" s="129"/>
      <c r="O61" s="130"/>
      <c r="P61" s="131"/>
      <c r="Q61" s="131"/>
      <c r="R61" s="129"/>
      <c r="S61" s="130"/>
      <c r="T61" s="131"/>
      <c r="U61" s="131"/>
      <c r="V61" s="129"/>
      <c r="W61" s="130"/>
      <c r="X61" s="131"/>
      <c r="Y61" s="131"/>
      <c r="Z61" s="129"/>
      <c r="AA61" s="130"/>
      <c r="AB61" s="131"/>
      <c r="AC61" s="131"/>
    </row>
    <row r="62">
      <c r="A62" s="148" t="s">
        <v>282</v>
      </c>
      <c r="B62" s="132" t="s">
        <v>283</v>
      </c>
      <c r="C62" s="133">
        <f>sumifs(Listing[Điểm],Listing[Mục],A62,Listing[Tình trạng],"100%")</f>
        <v>0</v>
      </c>
      <c r="D62" s="133">
        <f>if(C62&lt;E62,C62,E62)</f>
        <v>0</v>
      </c>
      <c r="E62" s="66">
        <v>10.0</v>
      </c>
      <c r="F62" s="28"/>
      <c r="G62" s="28"/>
    </row>
    <row r="63">
      <c r="A63" s="148" t="s">
        <v>284</v>
      </c>
      <c r="B63" s="132" t="s">
        <v>285</v>
      </c>
      <c r="C63" s="133">
        <f>sumifs(Listing[Điểm],Listing[Mục],A63,Listing[Tình trạng],"100%")</f>
        <v>0</v>
      </c>
      <c r="D63" s="133">
        <f>sum(D64:D65,D71)</f>
        <v>0</v>
      </c>
      <c r="E63" s="66">
        <v>10.0</v>
      </c>
      <c r="F63" s="28"/>
      <c r="G63" s="28"/>
    </row>
    <row r="64">
      <c r="A64" s="145" t="s">
        <v>286</v>
      </c>
      <c r="B64" s="135" t="s">
        <v>287</v>
      </c>
      <c r="C64" s="136">
        <f>sumifs(Listing[Điểm],Listing[Mục],A64,Listing[Tình trạng],"100%")</f>
        <v>0</v>
      </c>
      <c r="D64" s="136">
        <f>if(C64&lt;E64,C64,E64)</f>
        <v>0</v>
      </c>
      <c r="E64" s="137">
        <v>2.0</v>
      </c>
      <c r="F64" s="152"/>
      <c r="G64" s="152"/>
      <c r="H64" s="153"/>
      <c r="I64" s="153"/>
      <c r="J64" s="153"/>
      <c r="K64" s="153"/>
      <c r="L64" s="153"/>
      <c r="M64" s="153"/>
      <c r="N64" s="153"/>
      <c r="O64" s="153"/>
      <c r="P64" s="153"/>
      <c r="Q64" s="153"/>
      <c r="R64" s="153"/>
      <c r="S64" s="153"/>
      <c r="T64" s="153"/>
      <c r="U64" s="153"/>
      <c r="V64" s="153"/>
      <c r="W64" s="153"/>
      <c r="X64" s="153"/>
      <c r="Y64" s="153"/>
      <c r="Z64" s="153"/>
      <c r="AA64" s="153"/>
      <c r="AB64" s="153"/>
      <c r="AC64" s="153"/>
    </row>
    <row r="65">
      <c r="A65" s="145" t="s">
        <v>288</v>
      </c>
      <c r="B65" s="135" t="s">
        <v>289</v>
      </c>
      <c r="C65" s="136">
        <f>sumifs(Listing[Điểm],Listing[Mục],A65,Listing[Tình trạng],"100%")</f>
        <v>0</v>
      </c>
      <c r="D65" s="136">
        <f>sum(D66:D70)</f>
        <v>0</v>
      </c>
      <c r="E65" s="137">
        <v>10.0</v>
      </c>
      <c r="F65" s="152"/>
      <c r="G65" s="152"/>
      <c r="H65" s="153"/>
      <c r="I65" s="153"/>
      <c r="J65" s="153"/>
      <c r="K65" s="153"/>
      <c r="L65" s="153"/>
      <c r="M65" s="153"/>
      <c r="N65" s="153"/>
      <c r="O65" s="153"/>
      <c r="P65" s="153"/>
      <c r="Q65" s="153"/>
      <c r="R65" s="153"/>
      <c r="S65" s="153"/>
      <c r="T65" s="153"/>
      <c r="U65" s="153"/>
      <c r="V65" s="153"/>
      <c r="W65" s="153"/>
      <c r="X65" s="153"/>
      <c r="Y65" s="153"/>
      <c r="Z65" s="153"/>
      <c r="AA65" s="153"/>
      <c r="AB65" s="153"/>
      <c r="AC65" s="153"/>
    </row>
    <row r="66">
      <c r="A66" s="147" t="s">
        <v>290</v>
      </c>
      <c r="B66" s="138" t="s">
        <v>291</v>
      </c>
      <c r="C66" s="140">
        <f>sumifs(Listing[Điểm],Listing[Mục],A66,Listing[Tình trạng],"100%")</f>
        <v>0</v>
      </c>
      <c r="D66" s="140">
        <f t="shared" ref="D66:D70" si="21">if(C66&lt;E66,C66,E66)</f>
        <v>0</v>
      </c>
      <c r="E66" s="80">
        <v>5.0</v>
      </c>
      <c r="F66" s="28"/>
      <c r="G66" s="28"/>
    </row>
    <row r="67">
      <c r="A67" s="147" t="s">
        <v>292</v>
      </c>
      <c r="B67" s="138" t="s">
        <v>254</v>
      </c>
      <c r="C67" s="140">
        <f>sumifs(Listing[Điểm],Listing[Mục],A67,Listing[Tình trạng],"100%")</f>
        <v>0</v>
      </c>
      <c r="D67" s="140">
        <f t="shared" si="21"/>
        <v>0</v>
      </c>
      <c r="E67" s="80">
        <v>5.0</v>
      </c>
      <c r="F67" s="28"/>
      <c r="G67" s="28"/>
    </row>
    <row r="68">
      <c r="A68" s="147" t="s">
        <v>293</v>
      </c>
      <c r="B68" s="138" t="s">
        <v>294</v>
      </c>
      <c r="C68" s="140">
        <f>sumifs(Listing[Điểm],Listing[Mục],A68,Listing[Tình trạng],"100%")</f>
        <v>0</v>
      </c>
      <c r="D68" s="140">
        <f t="shared" si="21"/>
        <v>0</v>
      </c>
      <c r="E68" s="80">
        <v>5.0</v>
      </c>
      <c r="F68" s="28"/>
      <c r="G68" s="28"/>
    </row>
    <row r="69">
      <c r="A69" s="147" t="s">
        <v>295</v>
      </c>
      <c r="B69" s="138" t="s">
        <v>296</v>
      </c>
      <c r="C69" s="140">
        <f>sumifs(Listing[Điểm],Listing[Mục],A69,Listing[Tình trạng],"100%")</f>
        <v>0</v>
      </c>
      <c r="D69" s="140">
        <f t="shared" si="21"/>
        <v>0</v>
      </c>
      <c r="E69" s="80">
        <v>5.0</v>
      </c>
      <c r="F69" s="28"/>
      <c r="G69" s="28"/>
    </row>
    <row r="70">
      <c r="A70" s="147" t="s">
        <v>297</v>
      </c>
      <c r="B70" s="138" t="s">
        <v>298</v>
      </c>
      <c r="C70" s="140">
        <f>sumifs(Listing[Điểm],Listing[Mục],A70,Listing[Tình trạng],"100%")</f>
        <v>0</v>
      </c>
      <c r="D70" s="140">
        <f t="shared" si="21"/>
        <v>0</v>
      </c>
      <c r="E70" s="80">
        <v>2.0</v>
      </c>
      <c r="F70" s="28"/>
      <c r="G70" s="28"/>
    </row>
    <row r="71">
      <c r="A71" s="145" t="s">
        <v>299</v>
      </c>
      <c r="B71" s="135" t="s">
        <v>300</v>
      </c>
      <c r="C71" s="136">
        <f>sumifs(Listing[Điểm],Listing[Mục],A71,Listing[Tình trạng],"100%")</f>
        <v>0</v>
      </c>
      <c r="D71" s="136">
        <f>sum(D72:D76)</f>
        <v>0</v>
      </c>
      <c r="E71" s="137">
        <v>10.0</v>
      </c>
      <c r="F71" s="152"/>
      <c r="G71" s="152"/>
      <c r="H71" s="153"/>
      <c r="I71" s="153"/>
      <c r="J71" s="153"/>
      <c r="K71" s="153"/>
      <c r="L71" s="153"/>
      <c r="M71" s="153"/>
      <c r="N71" s="153"/>
      <c r="O71" s="153"/>
      <c r="P71" s="153"/>
      <c r="Q71" s="153"/>
      <c r="R71" s="153"/>
      <c r="S71" s="153"/>
      <c r="T71" s="153"/>
      <c r="U71" s="153"/>
      <c r="V71" s="153"/>
      <c r="W71" s="153"/>
      <c r="X71" s="153"/>
      <c r="Y71" s="153"/>
      <c r="Z71" s="153"/>
      <c r="AA71" s="153"/>
      <c r="AB71" s="153"/>
      <c r="AC71" s="153"/>
    </row>
    <row r="72">
      <c r="A72" s="147" t="s">
        <v>301</v>
      </c>
      <c r="B72" s="138" t="s">
        <v>291</v>
      </c>
      <c r="C72" s="140">
        <f>sumifs(Listing[Điểm],Listing[Mục],A72,Listing[Tình trạng],"100%")</f>
        <v>0</v>
      </c>
      <c r="D72" s="140">
        <f t="shared" ref="D72:D76" si="22">if(C72&lt;E72,C72,E72)</f>
        <v>0</v>
      </c>
      <c r="E72" s="80">
        <v>5.0</v>
      </c>
      <c r="F72" s="28"/>
      <c r="G72" s="28"/>
    </row>
    <row r="73">
      <c r="A73" s="147" t="s">
        <v>302</v>
      </c>
      <c r="B73" s="138" t="s">
        <v>303</v>
      </c>
      <c r="C73" s="140">
        <f>sumifs(Listing[Điểm],Listing[Mục],A73,Listing[Tình trạng],"100%")</f>
        <v>0</v>
      </c>
      <c r="D73" s="140">
        <f t="shared" si="22"/>
        <v>0</v>
      </c>
      <c r="E73" s="80">
        <v>5.0</v>
      </c>
      <c r="F73" s="28"/>
      <c r="G73" s="28"/>
    </row>
    <row r="74">
      <c r="A74" s="147" t="s">
        <v>304</v>
      </c>
      <c r="B74" s="138" t="s">
        <v>294</v>
      </c>
      <c r="C74" s="140">
        <f>sumifs(Listing[Điểm],Listing[Mục],A74,Listing[Tình trạng],"100%")</f>
        <v>0</v>
      </c>
      <c r="D74" s="140">
        <f t="shared" si="22"/>
        <v>0</v>
      </c>
      <c r="E74" s="80">
        <v>5.0</v>
      </c>
      <c r="F74" s="28"/>
      <c r="G74" s="28"/>
    </row>
    <row r="75">
      <c r="A75" s="147" t="s">
        <v>305</v>
      </c>
      <c r="B75" s="138" t="s">
        <v>296</v>
      </c>
      <c r="C75" s="140">
        <f>sumifs(Listing[Điểm],Listing[Mục],A75,Listing[Tình trạng],"100%")</f>
        <v>0</v>
      </c>
      <c r="D75" s="140">
        <f t="shared" si="22"/>
        <v>0</v>
      </c>
      <c r="E75" s="80">
        <v>5.0</v>
      </c>
      <c r="F75" s="28"/>
      <c r="G75" s="28"/>
    </row>
    <row r="76">
      <c r="A76" s="147" t="s">
        <v>306</v>
      </c>
      <c r="B76" s="138" t="s">
        <v>298</v>
      </c>
      <c r="C76" s="140">
        <f>sumifs(Listing[Điểm],Listing[Mục],A76,Listing[Tình trạng],"100%")</f>
        <v>0</v>
      </c>
      <c r="D76" s="140">
        <f t="shared" si="22"/>
        <v>0</v>
      </c>
      <c r="E76" s="80">
        <v>2.0</v>
      </c>
      <c r="F76" s="28"/>
      <c r="G76" s="28"/>
    </row>
    <row r="77">
      <c r="A77" s="148" t="s">
        <v>307</v>
      </c>
      <c r="B77" s="132" t="s">
        <v>308</v>
      </c>
      <c r="C77" s="133">
        <f>sumifs(Listing[Điểm],Listing[Mục],A77,Listing[Tình trạng],"100%")</f>
        <v>0</v>
      </c>
      <c r="D77" s="133">
        <f>sum(D78:D79,D85)</f>
        <v>3.5</v>
      </c>
      <c r="E77" s="66">
        <v>10.0</v>
      </c>
      <c r="F77" s="28"/>
      <c r="G77" s="28"/>
    </row>
    <row r="78">
      <c r="A78" s="145" t="s">
        <v>309</v>
      </c>
      <c r="B78" s="135" t="s">
        <v>310</v>
      </c>
      <c r="C78" s="136">
        <f>sumifs(Listing[Điểm],Listing[Mục],A78,Listing[Tình trạng],"100%")</f>
        <v>0</v>
      </c>
      <c r="D78" s="136">
        <f>if(C78&lt;E78,C78,E78)</f>
        <v>0</v>
      </c>
      <c r="E78" s="137">
        <v>2.0</v>
      </c>
      <c r="F78" s="152"/>
      <c r="G78" s="152"/>
      <c r="H78" s="153"/>
      <c r="I78" s="153"/>
      <c r="J78" s="153"/>
      <c r="K78" s="153"/>
      <c r="L78" s="153"/>
      <c r="M78" s="153"/>
      <c r="N78" s="153"/>
      <c r="O78" s="153"/>
      <c r="P78" s="153"/>
      <c r="Q78" s="153"/>
      <c r="R78" s="153"/>
      <c r="S78" s="153"/>
      <c r="T78" s="153"/>
      <c r="U78" s="153"/>
      <c r="V78" s="153"/>
      <c r="W78" s="153"/>
      <c r="X78" s="153"/>
      <c r="Y78" s="153"/>
      <c r="Z78" s="153"/>
      <c r="AA78" s="153"/>
      <c r="AB78" s="153"/>
      <c r="AC78" s="153"/>
    </row>
    <row r="79">
      <c r="A79" s="145" t="s">
        <v>311</v>
      </c>
      <c r="B79" s="135" t="s">
        <v>312</v>
      </c>
      <c r="C79" s="136">
        <f>sumifs(Listing[Điểm],Listing[Mục],A79,Listing[Tình trạng],"100%")</f>
        <v>0</v>
      </c>
      <c r="D79" s="136">
        <f>sum(D80:D84)</f>
        <v>1</v>
      </c>
      <c r="E79" s="137">
        <v>5.0</v>
      </c>
      <c r="F79" s="152"/>
      <c r="G79" s="152"/>
      <c r="H79" s="153"/>
      <c r="I79" s="153"/>
      <c r="J79" s="153"/>
      <c r="K79" s="153"/>
      <c r="L79" s="153"/>
      <c r="M79" s="153"/>
      <c r="N79" s="153"/>
      <c r="O79" s="153"/>
      <c r="P79" s="153"/>
      <c r="Q79" s="153"/>
      <c r="R79" s="153"/>
      <c r="S79" s="153"/>
      <c r="T79" s="153"/>
      <c r="U79" s="153"/>
      <c r="V79" s="153"/>
      <c r="W79" s="153"/>
      <c r="X79" s="153"/>
      <c r="Y79" s="153"/>
      <c r="Z79" s="153"/>
      <c r="AA79" s="153"/>
      <c r="AB79" s="153"/>
      <c r="AC79" s="153"/>
    </row>
    <row r="80">
      <c r="A80" s="147" t="s">
        <v>313</v>
      </c>
      <c r="B80" s="138" t="s">
        <v>291</v>
      </c>
      <c r="C80" s="140">
        <f>sumifs(Listing[Điểm],Listing[Mục],A80,Listing[Tình trạng],"100%")</f>
        <v>0</v>
      </c>
      <c r="D80" s="140">
        <f t="shared" ref="D80:D84" si="23">if(C80&lt;E80,C80,E80)</f>
        <v>0</v>
      </c>
      <c r="E80" s="80">
        <v>5.0</v>
      </c>
      <c r="F80" s="28"/>
      <c r="G80" s="28"/>
    </row>
    <row r="81">
      <c r="A81" s="147" t="s">
        <v>126</v>
      </c>
      <c r="B81" s="138" t="s">
        <v>254</v>
      </c>
      <c r="C81" s="140">
        <f>sumifs(Listing[Điểm],Listing[Mục],A81,Listing[Tình trạng],"100%")</f>
        <v>1</v>
      </c>
      <c r="D81" s="140">
        <f t="shared" si="23"/>
        <v>1</v>
      </c>
      <c r="E81" s="80">
        <v>5.0</v>
      </c>
      <c r="F81" s="28"/>
      <c r="G81" s="28"/>
    </row>
    <row r="82">
      <c r="A82" s="147" t="s">
        <v>314</v>
      </c>
      <c r="B82" s="138" t="s">
        <v>294</v>
      </c>
      <c r="C82" s="140">
        <f>sumifs(Listing[Điểm],Listing[Mục],A82,Listing[Tình trạng],"100%")</f>
        <v>0</v>
      </c>
      <c r="D82" s="140">
        <f t="shared" si="23"/>
        <v>0</v>
      </c>
      <c r="E82" s="80">
        <v>5.0</v>
      </c>
      <c r="F82" s="28"/>
      <c r="G82" s="28"/>
    </row>
    <row r="83">
      <c r="A83" s="147" t="s">
        <v>315</v>
      </c>
      <c r="B83" s="138" t="s">
        <v>296</v>
      </c>
      <c r="C83" s="140">
        <f>sumifs(Listing[Điểm],Listing[Mục],A83,Listing[Tình trạng],"100%")</f>
        <v>0</v>
      </c>
      <c r="D83" s="140">
        <f t="shared" si="23"/>
        <v>0</v>
      </c>
      <c r="E83" s="80">
        <v>5.0</v>
      </c>
      <c r="F83" s="28"/>
      <c r="G83" s="28"/>
    </row>
    <row r="84">
      <c r="A84" s="147" t="s">
        <v>316</v>
      </c>
      <c r="B84" s="138" t="s">
        <v>317</v>
      </c>
      <c r="C84" s="140">
        <f>sumifs(Listing[Điểm],Listing[Mục],A84,Listing[Tình trạng],"100%")</f>
        <v>0</v>
      </c>
      <c r="D84" s="140">
        <f t="shared" si="23"/>
        <v>0</v>
      </c>
      <c r="E84" s="80">
        <v>2.0</v>
      </c>
      <c r="F84" s="28"/>
      <c r="G84" s="28"/>
    </row>
    <row r="85">
      <c r="A85" s="145" t="s">
        <v>318</v>
      </c>
      <c r="B85" s="135" t="s">
        <v>319</v>
      </c>
      <c r="C85" s="136">
        <f>sumifs(Listing[Điểm],Listing[Mục],A85,Listing[Tình trạng],"100%")</f>
        <v>0</v>
      </c>
      <c r="D85" s="136">
        <f>sum(D86:D90)</f>
        <v>2.5</v>
      </c>
      <c r="E85" s="137">
        <v>5.0</v>
      </c>
      <c r="F85" s="152"/>
      <c r="G85" s="152"/>
      <c r="H85" s="153"/>
      <c r="I85" s="153"/>
      <c r="J85" s="153"/>
      <c r="K85" s="153"/>
      <c r="L85" s="153"/>
      <c r="M85" s="153"/>
      <c r="N85" s="153"/>
      <c r="O85" s="153"/>
      <c r="P85" s="153"/>
      <c r="Q85" s="153"/>
      <c r="R85" s="153"/>
      <c r="S85" s="153"/>
      <c r="T85" s="153"/>
      <c r="U85" s="153"/>
      <c r="V85" s="153"/>
      <c r="W85" s="153"/>
      <c r="X85" s="153"/>
      <c r="Y85" s="153"/>
      <c r="Z85" s="153"/>
      <c r="AA85" s="153"/>
      <c r="AB85" s="153"/>
      <c r="AC85" s="153"/>
    </row>
    <row r="86">
      <c r="A86" s="147" t="s">
        <v>320</v>
      </c>
      <c r="B86" s="138" t="s">
        <v>291</v>
      </c>
      <c r="C86" s="140">
        <f>sumifs(Listing[Điểm],Listing[Mục],A86,Listing[Tình trạng],"100%")</f>
        <v>0</v>
      </c>
      <c r="D86" s="140">
        <f t="shared" ref="D86:D90" si="24">if(C86&lt;E86,C86,E86)</f>
        <v>0</v>
      </c>
      <c r="E86" s="80">
        <v>5.0</v>
      </c>
      <c r="F86" s="28"/>
      <c r="G86" s="28"/>
    </row>
    <row r="87">
      <c r="A87" s="147" t="s">
        <v>164</v>
      </c>
      <c r="B87" s="138" t="s">
        <v>254</v>
      </c>
      <c r="C87" s="140">
        <f>sumifs(Listing[Điểm],Listing[Mục],A87,Listing[Tình trạng],"100%")</f>
        <v>2.5</v>
      </c>
      <c r="D87" s="140">
        <f t="shared" si="24"/>
        <v>2.5</v>
      </c>
      <c r="E87" s="80">
        <v>5.0</v>
      </c>
      <c r="F87" s="28"/>
      <c r="G87" s="28"/>
    </row>
    <row r="88">
      <c r="A88" s="147" t="s">
        <v>321</v>
      </c>
      <c r="B88" s="138" t="s">
        <v>294</v>
      </c>
      <c r="C88" s="140">
        <f>sumifs(Listing[Điểm],Listing[Mục],A88,Listing[Tình trạng],"100%")</f>
        <v>0</v>
      </c>
      <c r="D88" s="140">
        <f t="shared" si="24"/>
        <v>0</v>
      </c>
      <c r="E88" s="80">
        <v>5.0</v>
      </c>
      <c r="F88" s="28"/>
      <c r="G88" s="28"/>
    </row>
    <row r="89">
      <c r="A89" s="147" t="s">
        <v>322</v>
      </c>
      <c r="B89" s="138" t="s">
        <v>296</v>
      </c>
      <c r="C89" s="140">
        <f>sumifs(Listing[Điểm],Listing[Mục],A89,Listing[Tình trạng],"100%")</f>
        <v>0</v>
      </c>
      <c r="D89" s="140">
        <f t="shared" si="24"/>
        <v>0</v>
      </c>
      <c r="E89" s="80">
        <v>5.0</v>
      </c>
      <c r="F89" s="28"/>
      <c r="G89" s="28"/>
    </row>
    <row r="90">
      <c r="A90" s="147" t="s">
        <v>323</v>
      </c>
      <c r="B90" s="138" t="s">
        <v>317</v>
      </c>
      <c r="C90" s="140">
        <f>sumifs(Listing[Điểm],Listing[Mục],A90,Listing[Tình trạng],"100%")</f>
        <v>0</v>
      </c>
      <c r="D90" s="140">
        <f t="shared" si="24"/>
        <v>0</v>
      </c>
      <c r="E90" s="80">
        <v>2.0</v>
      </c>
      <c r="F90" s="28"/>
      <c r="G90" s="28"/>
    </row>
    <row r="91">
      <c r="A91" s="148" t="s">
        <v>324</v>
      </c>
      <c r="B91" s="132" t="s">
        <v>325</v>
      </c>
      <c r="C91" s="133">
        <f>sumifs(Listing[Điểm],Listing[Mục],A91,Listing[Tình trạng],"100%")</f>
        <v>0</v>
      </c>
      <c r="D91" s="133">
        <f>sum(D92:D93)</f>
        <v>0</v>
      </c>
      <c r="E91" s="66">
        <v>5.0</v>
      </c>
      <c r="F91" s="28"/>
      <c r="G91" s="28"/>
    </row>
    <row r="92">
      <c r="A92" s="147" t="s">
        <v>326</v>
      </c>
      <c r="B92" s="138" t="s">
        <v>327</v>
      </c>
      <c r="C92" s="140">
        <f>sumifs(Listing[Điểm],Listing[Mục],A92,Listing[Tình trạng],"100%")</f>
        <v>0</v>
      </c>
      <c r="D92" s="140">
        <f t="shared" ref="D92:D95" si="25">if(C92&lt;E92,C92,E92)</f>
        <v>0</v>
      </c>
      <c r="E92" s="80">
        <v>2.0</v>
      </c>
      <c r="F92" s="28"/>
      <c r="G92" s="28"/>
    </row>
    <row r="93">
      <c r="A93" s="147" t="s">
        <v>328</v>
      </c>
      <c r="B93" s="138" t="s">
        <v>329</v>
      </c>
      <c r="C93" s="140">
        <f>sumifs(Listing[Điểm],Listing[Mục],A93,Listing[Tình trạng],"100%")</f>
        <v>0</v>
      </c>
      <c r="D93" s="140">
        <f t="shared" si="25"/>
        <v>0</v>
      </c>
      <c r="E93" s="80">
        <v>5.0</v>
      </c>
      <c r="F93" s="28"/>
      <c r="G93" s="28"/>
    </row>
    <row r="94">
      <c r="A94" s="148" t="s">
        <v>330</v>
      </c>
      <c r="B94" s="132" t="s">
        <v>331</v>
      </c>
      <c r="C94" s="133">
        <f>sumifs(Listing[Điểm],Listing[Mục],A94,Listing[Tình trạng],"100%")</f>
        <v>0</v>
      </c>
      <c r="D94" s="133">
        <f t="shared" si="25"/>
        <v>0</v>
      </c>
      <c r="E94" s="66">
        <v>5.0</v>
      </c>
      <c r="F94" s="28"/>
      <c r="G94" s="28"/>
    </row>
    <row r="95">
      <c r="A95" s="148" t="s">
        <v>332</v>
      </c>
      <c r="B95" s="132" t="s">
        <v>333</v>
      </c>
      <c r="C95" s="133">
        <f>sumifs(Listing[Điểm],Listing[Mục],A95,Listing[Tình trạng],"100%")</f>
        <v>0</v>
      </c>
      <c r="D95" s="133">
        <f t="shared" si="25"/>
        <v>0</v>
      </c>
      <c r="E95" s="66">
        <v>10.0</v>
      </c>
      <c r="F95" s="28"/>
      <c r="G95" s="28"/>
    </row>
    <row r="96">
      <c r="A96" s="148" t="s">
        <v>334</v>
      </c>
      <c r="B96" s="132" t="s">
        <v>335</v>
      </c>
      <c r="C96" s="133">
        <f>sumifs(Listing[Điểm],Listing[Mục],A96,Listing[Tình trạng],"100%")</f>
        <v>0</v>
      </c>
      <c r="D96" s="133">
        <f>sum(D97:D98)</f>
        <v>0</v>
      </c>
      <c r="E96" s="66">
        <v>-15.0</v>
      </c>
      <c r="F96" s="28"/>
      <c r="G96" s="28"/>
    </row>
    <row r="97">
      <c r="A97" s="147" t="s">
        <v>336</v>
      </c>
      <c r="B97" s="138" t="s">
        <v>275</v>
      </c>
      <c r="C97" s="140">
        <f>sumifs(Listing[Điểm],Listing[Mục],A97,Listing[Tình trạng],"100%")</f>
        <v>0</v>
      </c>
      <c r="D97" s="140">
        <f t="shared" ref="D97:D98" si="26">if(C97&gt;E97,C97,E97)</f>
        <v>0</v>
      </c>
      <c r="E97" s="80">
        <v>-15.0</v>
      </c>
      <c r="F97" s="28"/>
      <c r="G97" s="28"/>
    </row>
    <row r="98">
      <c r="A98" s="147" t="s">
        <v>337</v>
      </c>
      <c r="B98" s="138" t="s">
        <v>277</v>
      </c>
      <c r="C98" s="140">
        <f>sumifs(Listing[Điểm],Listing[Mục],A98,Listing[Tình trạng],"100%")</f>
        <v>0</v>
      </c>
      <c r="D98" s="140">
        <f t="shared" si="26"/>
        <v>0</v>
      </c>
      <c r="E98" s="80">
        <v>-15.0</v>
      </c>
      <c r="F98" s="28"/>
      <c r="G98" s="28"/>
    </row>
    <row r="99">
      <c r="A99" s="157" t="s">
        <v>338</v>
      </c>
      <c r="B99" s="158" t="s">
        <v>339</v>
      </c>
      <c r="C99" s="159">
        <f>sum(D100:D102)</f>
        <v>10</v>
      </c>
      <c r="D99" s="159">
        <f>if(C99&lt;E99,C99,E99)</f>
        <v>10</v>
      </c>
      <c r="E99" s="160">
        <v>15.0</v>
      </c>
      <c r="F99" s="28"/>
      <c r="G99" s="28"/>
    </row>
    <row r="100">
      <c r="A100" s="41" t="s">
        <v>340</v>
      </c>
      <c r="B100" s="42" t="s">
        <v>341</v>
      </c>
      <c r="C100" s="48">
        <f>sumifs(Listing[Điểm],Listing[Mục],A100,Listing[Tình trạng],"100%")</f>
        <v>0</v>
      </c>
      <c r="D100" s="48">
        <v>10.0</v>
      </c>
      <c r="E100" s="49">
        <v>10.0</v>
      </c>
      <c r="F100" s="129"/>
      <c r="G100" s="130"/>
      <c r="H100" s="131"/>
      <c r="I100" s="131"/>
      <c r="J100" s="129"/>
      <c r="K100" s="130"/>
      <c r="L100" s="131"/>
      <c r="M100" s="131"/>
      <c r="N100" s="129"/>
      <c r="O100" s="130"/>
      <c r="P100" s="131"/>
      <c r="Q100" s="131"/>
      <c r="R100" s="129"/>
      <c r="S100" s="130"/>
      <c r="T100" s="131"/>
      <c r="U100" s="131"/>
      <c r="V100" s="129"/>
      <c r="W100" s="130"/>
      <c r="X100" s="131"/>
      <c r="Y100" s="131"/>
      <c r="Z100" s="129"/>
      <c r="AA100" s="130"/>
      <c r="AB100" s="131"/>
      <c r="AC100" s="131"/>
    </row>
    <row r="101">
      <c r="A101" s="148" t="s">
        <v>342</v>
      </c>
      <c r="B101" s="132" t="s">
        <v>178</v>
      </c>
      <c r="C101" s="133">
        <f>sumifs(Listing[Điểm],Listing[Mục],A101,Listing[Tình trạng],"100%")</f>
        <v>0</v>
      </c>
      <c r="D101" s="133">
        <f>if(C101&lt;E101,C101,E101)</f>
        <v>0</v>
      </c>
      <c r="E101" s="66">
        <v>5.0</v>
      </c>
      <c r="F101" s="28"/>
      <c r="G101" s="28"/>
    </row>
    <row r="102">
      <c r="A102" s="148" t="s">
        <v>343</v>
      </c>
      <c r="B102" s="132" t="s">
        <v>344</v>
      </c>
      <c r="C102" s="133">
        <f>sumifs(Listing[Điểm],Listing[Mục],A102,Listing[Tình trạng],"100%")</f>
        <v>0</v>
      </c>
      <c r="D102" s="133">
        <f>sum(D103:D104)</f>
        <v>0</v>
      </c>
      <c r="E102" s="66">
        <v>5.0</v>
      </c>
      <c r="F102" s="28"/>
      <c r="G102" s="28"/>
    </row>
    <row r="103">
      <c r="A103" s="147" t="s">
        <v>345</v>
      </c>
      <c r="B103" s="138" t="s">
        <v>346</v>
      </c>
      <c r="C103" s="140">
        <f>sumifs(Listing[Điểm],Listing[Mục],A103,Listing[Tình trạng],"100%")</f>
        <v>0</v>
      </c>
      <c r="D103" s="140">
        <f t="shared" ref="D103:D105" si="27">if(C103&lt;E103,C103,E103)</f>
        <v>0</v>
      </c>
      <c r="E103" s="80">
        <v>5.0</v>
      </c>
      <c r="F103" s="28"/>
      <c r="G103" s="28"/>
    </row>
    <row r="104">
      <c r="A104" s="147" t="s">
        <v>347</v>
      </c>
      <c r="B104" s="138" t="s">
        <v>348</v>
      </c>
      <c r="C104" s="140">
        <f>sumifs(Listing[Điểm],Listing[Mục],A104,Listing[Tình trạng],"100%")</f>
        <v>0</v>
      </c>
      <c r="D104" s="140">
        <f t="shared" si="27"/>
        <v>0</v>
      </c>
      <c r="E104" s="80">
        <v>5.0</v>
      </c>
      <c r="F104" s="28"/>
      <c r="G104" s="28"/>
    </row>
    <row r="105">
      <c r="A105" s="157" t="s">
        <v>349</v>
      </c>
      <c r="B105" s="158" t="s">
        <v>350</v>
      </c>
      <c r="C105" s="159">
        <f>sum(D106:D108,D118,D124)</f>
        <v>10</v>
      </c>
      <c r="D105" s="159">
        <f t="shared" si="27"/>
        <v>10</v>
      </c>
      <c r="E105" s="160">
        <v>20.0</v>
      </c>
      <c r="F105" s="28"/>
      <c r="G105" s="28"/>
    </row>
    <row r="106">
      <c r="A106" s="41" t="s">
        <v>351</v>
      </c>
      <c r="B106" s="42" t="s">
        <v>352</v>
      </c>
      <c r="C106" s="48">
        <f>sumifs(Listing[Điểm],Listing[Mục],A106,Listing[Tình trạng],"100%")</f>
        <v>0</v>
      </c>
      <c r="D106" s="48">
        <v>10.0</v>
      </c>
      <c r="E106" s="49">
        <v>10.0</v>
      </c>
      <c r="F106" s="129"/>
      <c r="G106" s="130"/>
      <c r="H106" s="131"/>
      <c r="I106" s="131"/>
      <c r="J106" s="129"/>
      <c r="K106" s="130"/>
      <c r="L106" s="131"/>
      <c r="M106" s="131"/>
      <c r="N106" s="129"/>
      <c r="O106" s="130"/>
      <c r="P106" s="131"/>
      <c r="Q106" s="131"/>
      <c r="R106" s="129"/>
      <c r="S106" s="130"/>
      <c r="T106" s="131"/>
      <c r="U106" s="131"/>
      <c r="V106" s="129"/>
      <c r="W106" s="130"/>
      <c r="X106" s="131"/>
      <c r="Y106" s="131"/>
      <c r="Z106" s="129"/>
      <c r="AA106" s="130"/>
      <c r="AB106" s="131"/>
      <c r="AC106" s="131"/>
    </row>
    <row r="107">
      <c r="A107" s="148" t="s">
        <v>353</v>
      </c>
      <c r="B107" s="132" t="s">
        <v>354</v>
      </c>
      <c r="C107" s="133">
        <f>sumifs(Listing[Điểm],Listing[Mục],A107,Listing[Tình trạng],"100%")</f>
        <v>0</v>
      </c>
      <c r="D107" s="133">
        <f>if(C107&lt;E107,C107,E107)</f>
        <v>0</v>
      </c>
      <c r="E107" s="66">
        <v>10.0</v>
      </c>
      <c r="F107" s="28"/>
      <c r="G107" s="28"/>
    </row>
    <row r="108">
      <c r="A108" s="148" t="s">
        <v>355</v>
      </c>
      <c r="B108" s="132" t="s">
        <v>356</v>
      </c>
      <c r="C108" s="133">
        <f>sumifs(Listing[Điểm],Listing[Mục],A108,Listing[Tình trạng],"100%")</f>
        <v>0</v>
      </c>
      <c r="D108" s="133">
        <f>sum(D109:D117)</f>
        <v>0</v>
      </c>
      <c r="E108" s="66">
        <v>10.0</v>
      </c>
      <c r="F108" s="28"/>
      <c r="G108" s="28"/>
    </row>
    <row r="109">
      <c r="A109" s="147" t="s">
        <v>357</v>
      </c>
      <c r="B109" s="138" t="s">
        <v>358</v>
      </c>
      <c r="C109" s="140">
        <f>sumifs(Listing[Điểm],Listing[Mục],A109,Listing[Tình trạng],"100%")</f>
        <v>0</v>
      </c>
      <c r="D109" s="140">
        <f t="shared" ref="D109:D117" si="28">if(C109&lt;E109,C109,E109)</f>
        <v>0</v>
      </c>
      <c r="E109" s="80">
        <v>3.0</v>
      </c>
      <c r="F109" s="28"/>
      <c r="G109" s="28"/>
    </row>
    <row r="110">
      <c r="A110" s="147" t="s">
        <v>359</v>
      </c>
      <c r="B110" s="138" t="s">
        <v>360</v>
      </c>
      <c r="C110" s="140">
        <f>sumifs(Listing[Điểm],Listing[Mục],A110,Listing[Tình trạng],"100%")</f>
        <v>0</v>
      </c>
      <c r="D110" s="140">
        <f t="shared" si="28"/>
        <v>0</v>
      </c>
      <c r="E110" s="80">
        <v>3.0</v>
      </c>
      <c r="F110" s="28"/>
      <c r="G110" s="28"/>
    </row>
    <row r="111">
      <c r="A111" s="147" t="s">
        <v>361</v>
      </c>
      <c r="B111" s="138" t="s">
        <v>362</v>
      </c>
      <c r="C111" s="140">
        <f>sumifs(Listing[Điểm],Listing[Mục],A111,Listing[Tình trạng],"100%")</f>
        <v>0</v>
      </c>
      <c r="D111" s="140">
        <f t="shared" si="28"/>
        <v>0</v>
      </c>
      <c r="E111" s="80">
        <v>3.0</v>
      </c>
      <c r="F111" s="28"/>
      <c r="G111" s="28"/>
    </row>
    <row r="112">
      <c r="A112" s="147" t="s">
        <v>363</v>
      </c>
      <c r="B112" s="138" t="s">
        <v>364</v>
      </c>
      <c r="C112" s="140">
        <f>sumifs(Listing[Điểm],Listing[Mục],A112,Listing[Tình trạng],"100%")</f>
        <v>0</v>
      </c>
      <c r="D112" s="140">
        <f t="shared" si="28"/>
        <v>0</v>
      </c>
      <c r="E112" s="80">
        <v>3.0</v>
      </c>
      <c r="F112" s="28"/>
      <c r="G112" s="28"/>
    </row>
    <row r="113">
      <c r="A113" s="147" t="s">
        <v>365</v>
      </c>
      <c r="B113" s="138" t="s">
        <v>366</v>
      </c>
      <c r="C113" s="140">
        <f>sumifs(Listing[Điểm],Listing[Mục],A113,Listing[Tình trạng],"100%")</f>
        <v>0</v>
      </c>
      <c r="D113" s="140">
        <f t="shared" si="28"/>
        <v>0</v>
      </c>
      <c r="E113" s="80">
        <v>4.0</v>
      </c>
      <c r="F113" s="28"/>
      <c r="G113" s="28"/>
    </row>
    <row r="114">
      <c r="A114" s="147" t="s">
        <v>367</v>
      </c>
      <c r="B114" s="138" t="s">
        <v>368</v>
      </c>
      <c r="C114" s="140">
        <f>sumifs(Listing[Điểm],Listing[Mục],A114,Listing[Tình trạng],"100%")</f>
        <v>0</v>
      </c>
      <c r="D114" s="140">
        <f t="shared" si="28"/>
        <v>0</v>
      </c>
      <c r="E114" s="80">
        <v>4.0</v>
      </c>
      <c r="F114" s="28"/>
      <c r="G114" s="28"/>
    </row>
    <row r="115">
      <c r="A115" s="147" t="s">
        <v>369</v>
      </c>
      <c r="B115" s="138" t="s">
        <v>370</v>
      </c>
      <c r="C115" s="140">
        <f>sumifs(Listing[Điểm],Listing[Mục],A115,Listing[Tình trạng],"100%")</f>
        <v>0</v>
      </c>
      <c r="D115" s="140">
        <f t="shared" si="28"/>
        <v>0</v>
      </c>
      <c r="E115" s="80">
        <v>5.0</v>
      </c>
      <c r="F115" s="28"/>
      <c r="G115" s="28"/>
    </row>
    <row r="116">
      <c r="A116" s="147" t="s">
        <v>371</v>
      </c>
      <c r="B116" s="138" t="s">
        <v>372</v>
      </c>
      <c r="C116" s="140">
        <f>sumifs(Listing[Điểm],Listing[Mục],A116,Listing[Tình trạng],"100%")</f>
        <v>0</v>
      </c>
      <c r="D116" s="140">
        <f t="shared" si="28"/>
        <v>0</v>
      </c>
      <c r="E116" s="80">
        <v>5.0</v>
      </c>
      <c r="F116" s="28"/>
      <c r="G116" s="28"/>
    </row>
    <row r="117">
      <c r="A117" s="147" t="s">
        <v>373</v>
      </c>
      <c r="B117" s="138" t="s">
        <v>374</v>
      </c>
      <c r="C117" s="140">
        <f>sumifs(Listing[Điểm],Listing[Mục],A117,Listing[Tình trạng],"100%")</f>
        <v>0</v>
      </c>
      <c r="D117" s="140">
        <f t="shared" si="28"/>
        <v>0</v>
      </c>
      <c r="E117" s="80">
        <v>5.0</v>
      </c>
      <c r="F117" s="28"/>
      <c r="G117" s="28"/>
    </row>
    <row r="118">
      <c r="A118" s="148" t="s">
        <v>375</v>
      </c>
      <c r="B118" s="132" t="s">
        <v>376</v>
      </c>
      <c r="C118" s="133">
        <f>sumifs(Listing[Điểm],Listing[Mục],A118,Listing[Tình trạng],"100%")</f>
        <v>0</v>
      </c>
      <c r="D118" s="133">
        <f>SUM(D119:D121)</f>
        <v>0</v>
      </c>
      <c r="E118" s="66">
        <v>5.0</v>
      </c>
      <c r="F118" s="28"/>
      <c r="G118" s="28"/>
    </row>
    <row r="119">
      <c r="A119" s="145" t="s">
        <v>377</v>
      </c>
      <c r="B119" s="135" t="s">
        <v>378</v>
      </c>
      <c r="C119" s="136">
        <f>sumifs(Listing[Điểm],Listing[Mục],A119,Listing[Tình trạng],"100%")</f>
        <v>0</v>
      </c>
      <c r="D119" s="136">
        <f t="shared" ref="D119:D120" si="29">if(C119&lt;E119,C119,E119)</f>
        <v>0</v>
      </c>
      <c r="E119" s="137">
        <v>2.0</v>
      </c>
      <c r="F119" s="152"/>
      <c r="G119" s="152"/>
      <c r="H119" s="153"/>
      <c r="I119" s="153"/>
      <c r="J119" s="153"/>
      <c r="K119" s="153"/>
      <c r="L119" s="153"/>
      <c r="M119" s="153"/>
      <c r="N119" s="153"/>
      <c r="O119" s="153"/>
      <c r="P119" s="153"/>
      <c r="Q119" s="153"/>
      <c r="R119" s="153"/>
      <c r="S119" s="153"/>
      <c r="T119" s="153"/>
      <c r="U119" s="153"/>
      <c r="V119" s="153"/>
      <c r="W119" s="153"/>
      <c r="X119" s="153"/>
      <c r="Y119" s="153"/>
      <c r="Z119" s="153"/>
      <c r="AA119" s="153"/>
      <c r="AB119" s="153"/>
      <c r="AC119" s="153"/>
    </row>
    <row r="120">
      <c r="A120" s="145" t="s">
        <v>379</v>
      </c>
      <c r="B120" s="135" t="s">
        <v>380</v>
      </c>
      <c r="C120" s="136">
        <f>sumifs(Listing[Điểm],Listing[Mục],A120,Listing[Tình trạng],"100%")</f>
        <v>0</v>
      </c>
      <c r="D120" s="136">
        <f t="shared" si="29"/>
        <v>0</v>
      </c>
      <c r="E120" s="137">
        <v>3.0</v>
      </c>
      <c r="F120" s="152"/>
      <c r="G120" s="152"/>
      <c r="H120" s="153"/>
      <c r="I120" s="153"/>
      <c r="J120" s="153"/>
      <c r="K120" s="153"/>
      <c r="L120" s="153"/>
      <c r="M120" s="153"/>
      <c r="N120" s="153"/>
      <c r="O120" s="153"/>
      <c r="P120" s="153"/>
      <c r="Q120" s="153"/>
      <c r="R120" s="153"/>
      <c r="S120" s="153"/>
      <c r="T120" s="153"/>
      <c r="U120" s="153"/>
      <c r="V120" s="153"/>
      <c r="W120" s="153"/>
      <c r="X120" s="153"/>
      <c r="Y120" s="153"/>
      <c r="Z120" s="153"/>
      <c r="AA120" s="153"/>
      <c r="AB120" s="153"/>
      <c r="AC120" s="153"/>
    </row>
    <row r="121">
      <c r="A121" s="145" t="s">
        <v>381</v>
      </c>
      <c r="B121" s="135" t="s">
        <v>382</v>
      </c>
      <c r="C121" s="136">
        <f>sumifs(Listing[Điểm],Listing[Mục],A121,Listing[Tình trạng],"100%")</f>
        <v>0</v>
      </c>
      <c r="D121" s="136">
        <f>sum(D122:D123)</f>
        <v>0</v>
      </c>
      <c r="E121" s="137">
        <v>5.0</v>
      </c>
      <c r="F121" s="152"/>
      <c r="G121" s="152"/>
      <c r="H121" s="153"/>
      <c r="I121" s="153"/>
      <c r="J121" s="153"/>
      <c r="K121" s="153"/>
      <c r="L121" s="153"/>
      <c r="M121" s="153"/>
      <c r="N121" s="153"/>
      <c r="O121" s="153"/>
      <c r="P121" s="153"/>
      <c r="Q121" s="153"/>
      <c r="R121" s="153"/>
      <c r="S121" s="153"/>
      <c r="T121" s="153"/>
      <c r="U121" s="153"/>
      <c r="V121" s="153"/>
      <c r="W121" s="153"/>
      <c r="X121" s="153"/>
      <c r="Y121" s="153"/>
      <c r="Z121" s="153"/>
      <c r="AA121" s="153"/>
      <c r="AB121" s="153"/>
      <c r="AC121" s="153"/>
    </row>
    <row r="122">
      <c r="A122" s="147" t="s">
        <v>383</v>
      </c>
      <c r="B122" s="138" t="s">
        <v>384</v>
      </c>
      <c r="C122" s="140">
        <f>sumifs(Listing[Điểm],Listing[Mục],A122,Listing[Tình trạng],"100%")</f>
        <v>0</v>
      </c>
      <c r="D122" s="140">
        <f t="shared" ref="D122:D123" si="30">if(C122&lt;E122,C122,E122)</f>
        <v>0</v>
      </c>
      <c r="E122" s="80">
        <v>3.0</v>
      </c>
      <c r="F122" s="28"/>
      <c r="G122" s="28"/>
    </row>
    <row r="123">
      <c r="A123" s="147" t="s">
        <v>385</v>
      </c>
      <c r="B123" s="138" t="s">
        <v>386</v>
      </c>
      <c r="C123" s="140">
        <f>sumifs(Listing[Điểm],Listing[Mục],A123,Listing[Tình trạng],"100%")</f>
        <v>0</v>
      </c>
      <c r="D123" s="140">
        <f t="shared" si="30"/>
        <v>0</v>
      </c>
      <c r="E123" s="80">
        <v>5.0</v>
      </c>
      <c r="F123" s="28"/>
      <c r="G123" s="28"/>
    </row>
    <row r="124">
      <c r="A124" s="148" t="s">
        <v>387</v>
      </c>
      <c r="B124" s="132" t="s">
        <v>388</v>
      </c>
      <c r="C124" s="133">
        <f>sumifs(Listing[Điểm],Listing[Mục],A124,Listing[Tình trạng],"100%")</f>
        <v>0</v>
      </c>
      <c r="D124" s="133">
        <f>sum(D125:D127,D130,D135,D138)</f>
        <v>0</v>
      </c>
      <c r="E124" s="66">
        <v>10.0</v>
      </c>
      <c r="F124" s="28"/>
      <c r="G124" s="28"/>
    </row>
    <row r="125">
      <c r="A125" s="145" t="s">
        <v>389</v>
      </c>
      <c r="B125" s="135" t="s">
        <v>390</v>
      </c>
      <c r="C125" s="136">
        <f>sumifs(Listing[Điểm],Listing[Mục],A125,Listing[Tình trạng],"100%")</f>
        <v>0</v>
      </c>
      <c r="D125" s="136">
        <f t="shared" ref="D125:D126" si="31">if(C125&lt;E125,C125,E125)</f>
        <v>0</v>
      </c>
      <c r="E125" s="137">
        <v>5.0</v>
      </c>
      <c r="F125" s="152"/>
      <c r="G125" s="152"/>
      <c r="H125" s="153"/>
      <c r="I125" s="153"/>
      <c r="J125" s="153"/>
      <c r="K125" s="153"/>
      <c r="L125" s="153"/>
      <c r="M125" s="153"/>
      <c r="N125" s="153"/>
      <c r="O125" s="153"/>
      <c r="P125" s="153"/>
      <c r="Q125" s="153"/>
      <c r="R125" s="153"/>
      <c r="S125" s="153"/>
      <c r="T125" s="153"/>
      <c r="U125" s="153"/>
      <c r="V125" s="153"/>
      <c r="W125" s="153"/>
      <c r="X125" s="153"/>
      <c r="Y125" s="153"/>
      <c r="Z125" s="153"/>
      <c r="AA125" s="153"/>
      <c r="AB125" s="153"/>
      <c r="AC125" s="153"/>
    </row>
    <row r="126">
      <c r="A126" s="145" t="s">
        <v>391</v>
      </c>
      <c r="B126" s="135" t="s">
        <v>392</v>
      </c>
      <c r="C126" s="136">
        <f>sumifs(Listing[Điểm],Listing[Mục],A126,Listing[Tình trạng],"100%")</f>
        <v>0</v>
      </c>
      <c r="D126" s="136">
        <f t="shared" si="31"/>
        <v>0</v>
      </c>
      <c r="E126" s="137">
        <v>4.0</v>
      </c>
      <c r="F126" s="152"/>
      <c r="G126" s="152"/>
      <c r="H126" s="153"/>
      <c r="I126" s="153"/>
      <c r="J126" s="153"/>
      <c r="K126" s="153"/>
      <c r="L126" s="153"/>
      <c r="M126" s="153"/>
      <c r="N126" s="153"/>
      <c r="O126" s="153"/>
      <c r="P126" s="153"/>
      <c r="Q126" s="153"/>
      <c r="R126" s="153"/>
      <c r="S126" s="153"/>
      <c r="T126" s="153"/>
      <c r="U126" s="153"/>
      <c r="V126" s="153"/>
      <c r="W126" s="153"/>
      <c r="X126" s="153"/>
      <c r="Y126" s="153"/>
      <c r="Z126" s="153"/>
      <c r="AA126" s="153"/>
      <c r="AB126" s="153"/>
      <c r="AC126" s="153"/>
    </row>
    <row r="127">
      <c r="A127" s="145" t="s">
        <v>393</v>
      </c>
      <c r="B127" s="135" t="s">
        <v>394</v>
      </c>
      <c r="C127" s="136">
        <f>sumifs(Listing[Điểm],Listing[Mục],A127,Listing[Tình trạng],"100%")</f>
        <v>0</v>
      </c>
      <c r="D127" s="136">
        <f>SUM(D128:D129)</f>
        <v>0</v>
      </c>
      <c r="E127" s="137">
        <v>10.0</v>
      </c>
      <c r="F127" s="152"/>
      <c r="G127" s="152"/>
      <c r="H127" s="153"/>
      <c r="I127" s="153"/>
      <c r="J127" s="153"/>
      <c r="K127" s="153"/>
      <c r="L127" s="153"/>
      <c r="M127" s="153"/>
      <c r="N127" s="153"/>
      <c r="O127" s="153"/>
      <c r="P127" s="153"/>
      <c r="Q127" s="153"/>
      <c r="R127" s="153"/>
      <c r="S127" s="153"/>
      <c r="T127" s="153"/>
      <c r="U127" s="153"/>
      <c r="V127" s="153"/>
      <c r="W127" s="153"/>
      <c r="X127" s="153"/>
      <c r="Y127" s="153"/>
      <c r="Z127" s="153"/>
      <c r="AA127" s="153"/>
      <c r="AB127" s="153"/>
      <c r="AC127" s="153"/>
    </row>
    <row r="128">
      <c r="A128" s="147" t="s">
        <v>395</v>
      </c>
      <c r="B128" s="138" t="s">
        <v>396</v>
      </c>
      <c r="C128" s="140">
        <f>sumifs(Listing[Điểm],Listing[Mục],A128,Listing[Tình trạng],"100%")</f>
        <v>0</v>
      </c>
      <c r="D128" s="140">
        <f t="shared" ref="D128:D129" si="32">if(C128&lt;E128,C128,E128)</f>
        <v>0</v>
      </c>
      <c r="E128" s="80">
        <v>5.0</v>
      </c>
      <c r="F128" s="28"/>
      <c r="G128" s="28"/>
    </row>
    <row r="129">
      <c r="A129" s="147" t="s">
        <v>397</v>
      </c>
      <c r="B129" s="138" t="s">
        <v>398</v>
      </c>
      <c r="C129" s="140">
        <f>sumifs(Listing[Điểm],Listing[Mục],A129,Listing[Tình trạng],"100%")</f>
        <v>0</v>
      </c>
      <c r="D129" s="140">
        <f t="shared" si="32"/>
        <v>0</v>
      </c>
      <c r="E129" s="80">
        <v>10.0</v>
      </c>
      <c r="F129" s="28"/>
      <c r="G129" s="28"/>
    </row>
    <row r="130">
      <c r="A130" s="145" t="s">
        <v>399</v>
      </c>
      <c r="B130" s="135" t="s">
        <v>400</v>
      </c>
      <c r="C130" s="136">
        <f>sumifs(Listing[Điểm],Listing[Mục],A130,Listing[Tình trạng],"100%")</f>
        <v>0</v>
      </c>
      <c r="D130" s="136">
        <f>sum(D131:D134)</f>
        <v>0</v>
      </c>
      <c r="E130" s="137">
        <v>10.0</v>
      </c>
      <c r="F130" s="152"/>
      <c r="G130" s="152"/>
      <c r="H130" s="153"/>
      <c r="I130" s="153"/>
      <c r="J130" s="153"/>
      <c r="K130" s="153"/>
      <c r="L130" s="153"/>
      <c r="M130" s="153"/>
      <c r="N130" s="153"/>
      <c r="O130" s="153"/>
      <c r="P130" s="153"/>
      <c r="Q130" s="153"/>
      <c r="R130" s="153"/>
      <c r="S130" s="153"/>
      <c r="T130" s="153"/>
      <c r="U130" s="153"/>
      <c r="V130" s="153"/>
      <c r="W130" s="153"/>
      <c r="X130" s="153"/>
      <c r="Y130" s="153"/>
      <c r="Z130" s="153"/>
      <c r="AA130" s="153"/>
      <c r="AB130" s="153"/>
      <c r="AC130" s="153"/>
    </row>
    <row r="131">
      <c r="A131" s="147" t="s">
        <v>401</v>
      </c>
      <c r="B131" s="138" t="s">
        <v>402</v>
      </c>
      <c r="C131" s="140">
        <f>sumifs(Listing[Điểm],Listing[Mục],A131,Listing[Tình trạng],"100%")</f>
        <v>0</v>
      </c>
      <c r="D131" s="140">
        <f t="shared" ref="D131:D134" si="33">if(C131&lt;E131,C131,E131)</f>
        <v>0</v>
      </c>
      <c r="E131" s="80">
        <v>10.0</v>
      </c>
      <c r="F131" s="28"/>
      <c r="G131" s="28"/>
    </row>
    <row r="132">
      <c r="A132" s="147" t="s">
        <v>403</v>
      </c>
      <c r="B132" s="138" t="s">
        <v>404</v>
      </c>
      <c r="C132" s="140">
        <f>sumifs(Listing[Điểm],Listing[Mục],A132,Listing[Tình trạng],"100%")</f>
        <v>0</v>
      </c>
      <c r="D132" s="140">
        <f t="shared" si="33"/>
        <v>0</v>
      </c>
      <c r="E132" s="80">
        <v>10.0</v>
      </c>
      <c r="F132" s="28"/>
      <c r="G132" s="28"/>
    </row>
    <row r="133">
      <c r="A133" s="147" t="s">
        <v>405</v>
      </c>
      <c r="B133" s="138" t="s">
        <v>406</v>
      </c>
      <c r="C133" s="140">
        <f>sumifs(Listing[Điểm],Listing[Mục],A133,Listing[Tình trạng],"100%")</f>
        <v>0</v>
      </c>
      <c r="D133" s="140">
        <f t="shared" si="33"/>
        <v>0</v>
      </c>
      <c r="E133" s="80">
        <v>10.0</v>
      </c>
      <c r="F133" s="28"/>
      <c r="G133" s="28"/>
    </row>
    <row r="134">
      <c r="A134" s="147" t="s">
        <v>407</v>
      </c>
      <c r="B134" s="138" t="s">
        <v>408</v>
      </c>
      <c r="C134" s="140">
        <f>sumifs(Listing[Điểm],Listing[Mục],A134,Listing[Tình trạng],"100%")</f>
        <v>0</v>
      </c>
      <c r="D134" s="140">
        <f t="shared" si="33"/>
        <v>0</v>
      </c>
      <c r="E134" s="80">
        <v>5.0</v>
      </c>
      <c r="F134" s="28"/>
      <c r="G134" s="28"/>
    </row>
    <row r="135">
      <c r="A135" s="145" t="s">
        <v>409</v>
      </c>
      <c r="B135" s="135" t="s">
        <v>410</v>
      </c>
      <c r="C135" s="136">
        <f>sumifs(Listing[Điểm],Listing[Mục],A135,Listing[Tình trạng],"100%")</f>
        <v>0</v>
      </c>
      <c r="D135" s="136">
        <f>SUM(D136:D137)</f>
        <v>0</v>
      </c>
      <c r="E135" s="137">
        <v>2.0</v>
      </c>
      <c r="F135" s="152"/>
      <c r="G135" s="152"/>
      <c r="H135" s="153"/>
      <c r="I135" s="153"/>
      <c r="J135" s="153"/>
      <c r="K135" s="153"/>
      <c r="L135" s="153"/>
      <c r="M135" s="153"/>
      <c r="N135" s="153"/>
      <c r="O135" s="153"/>
      <c r="P135" s="153"/>
      <c r="Q135" s="153"/>
      <c r="R135" s="153"/>
      <c r="S135" s="153"/>
      <c r="T135" s="153"/>
      <c r="U135" s="153"/>
      <c r="V135" s="153"/>
      <c r="W135" s="153"/>
      <c r="X135" s="153"/>
      <c r="Y135" s="153"/>
      <c r="Z135" s="153"/>
      <c r="AA135" s="153"/>
      <c r="AB135" s="153"/>
      <c r="AC135" s="153"/>
    </row>
    <row r="136">
      <c r="A136" s="147" t="s">
        <v>411</v>
      </c>
      <c r="B136" s="138" t="s">
        <v>412</v>
      </c>
      <c r="C136" s="140">
        <f>sumifs(Listing[Điểm],Listing[Mục],A136,Listing[Tình trạng],"100%")</f>
        <v>0</v>
      </c>
      <c r="D136" s="140">
        <f t="shared" ref="D136:D138" si="34">if(C136&lt;E136,C136,E136)</f>
        <v>0</v>
      </c>
      <c r="E136" s="80">
        <v>1.0</v>
      </c>
      <c r="F136" s="28"/>
      <c r="G136" s="28"/>
    </row>
    <row r="137">
      <c r="A137" s="147" t="s">
        <v>413</v>
      </c>
      <c r="B137" s="138" t="s">
        <v>414</v>
      </c>
      <c r="C137" s="140">
        <f>sumifs(Listing[Điểm],Listing[Mục],A137,Listing[Tình trạng],"100%")</f>
        <v>0</v>
      </c>
      <c r="D137" s="140">
        <f t="shared" si="34"/>
        <v>0</v>
      </c>
      <c r="E137" s="80">
        <v>2.0</v>
      </c>
      <c r="F137" s="28"/>
      <c r="G137" s="28"/>
    </row>
    <row r="138">
      <c r="A138" s="161" t="s">
        <v>415</v>
      </c>
      <c r="B138" s="162" t="s">
        <v>416</v>
      </c>
      <c r="C138" s="163">
        <f>sumifs(Listing[Điểm],Listing[Mục],A138,Listing[Tình trạng],"100%")</f>
        <v>0</v>
      </c>
      <c r="D138" s="163">
        <f t="shared" si="34"/>
        <v>0</v>
      </c>
      <c r="E138" s="164">
        <v>2.0</v>
      </c>
      <c r="F138" s="152"/>
      <c r="G138" s="152"/>
      <c r="H138" s="153"/>
      <c r="I138" s="153"/>
      <c r="J138" s="153"/>
      <c r="K138" s="153"/>
      <c r="L138" s="153"/>
      <c r="M138" s="153"/>
      <c r="N138" s="153"/>
      <c r="O138" s="153"/>
      <c r="P138" s="153"/>
      <c r="Q138" s="153"/>
      <c r="R138" s="153"/>
      <c r="S138" s="153"/>
      <c r="T138" s="153"/>
      <c r="U138" s="153"/>
      <c r="V138" s="153"/>
      <c r="W138" s="153"/>
      <c r="X138" s="153"/>
      <c r="Y138" s="153"/>
      <c r="Z138" s="153"/>
      <c r="AA138" s="153"/>
      <c r="AB138" s="153"/>
      <c r="AC138" s="153"/>
    </row>
    <row r="139">
      <c r="A139" s="165"/>
      <c r="C139" s="166"/>
      <c r="D139" s="166"/>
      <c r="E139" s="166"/>
    </row>
    <row r="140">
      <c r="A140" s="165"/>
      <c r="C140" s="166"/>
      <c r="D140" s="166"/>
      <c r="E140" s="166"/>
    </row>
    <row r="141">
      <c r="A141" s="165"/>
      <c r="C141" s="166"/>
      <c r="D141" s="166"/>
      <c r="E141" s="166"/>
    </row>
    <row r="142">
      <c r="A142" s="165"/>
      <c r="C142" s="166"/>
      <c r="D142" s="166"/>
      <c r="E142" s="166"/>
    </row>
    <row r="143">
      <c r="A143" s="165"/>
      <c r="C143" s="166"/>
      <c r="D143" s="166"/>
      <c r="E143" s="166"/>
    </row>
    <row r="144">
      <c r="A144" s="165"/>
      <c r="C144" s="166"/>
      <c r="D144" s="166"/>
      <c r="E144" s="166"/>
    </row>
    <row r="145">
      <c r="A145" s="165"/>
      <c r="C145" s="166"/>
      <c r="D145" s="166"/>
      <c r="E145" s="166"/>
    </row>
    <row r="146">
      <c r="A146" s="165"/>
      <c r="C146" s="166"/>
      <c r="D146" s="166"/>
      <c r="E146" s="166"/>
    </row>
    <row r="147">
      <c r="A147" s="165"/>
      <c r="C147" s="166"/>
      <c r="D147" s="166"/>
      <c r="E147" s="166"/>
    </row>
    <row r="148">
      <c r="A148" s="165"/>
      <c r="C148" s="166"/>
      <c r="D148" s="166"/>
      <c r="E148" s="166"/>
    </row>
    <row r="149">
      <c r="A149" s="165"/>
      <c r="C149" s="166"/>
      <c r="D149" s="166"/>
      <c r="E149" s="166"/>
    </row>
    <row r="150">
      <c r="A150" s="165"/>
      <c r="C150" s="166"/>
      <c r="D150" s="166"/>
      <c r="E150" s="166"/>
    </row>
    <row r="151">
      <c r="A151" s="165"/>
      <c r="C151" s="166"/>
      <c r="D151" s="166"/>
      <c r="E151" s="166"/>
    </row>
    <row r="152">
      <c r="A152" s="165"/>
      <c r="C152" s="166"/>
      <c r="D152" s="166"/>
      <c r="E152" s="166"/>
    </row>
    <row r="153">
      <c r="A153" s="165"/>
      <c r="C153" s="166"/>
      <c r="D153" s="166"/>
      <c r="E153" s="166"/>
    </row>
    <row r="154">
      <c r="A154" s="165"/>
      <c r="C154" s="166"/>
      <c r="D154" s="166"/>
      <c r="E154" s="166"/>
    </row>
    <row r="155">
      <c r="A155" s="165"/>
      <c r="C155" s="166"/>
      <c r="D155" s="166"/>
      <c r="E155" s="166"/>
    </row>
    <row r="156">
      <c r="A156" s="165"/>
      <c r="C156" s="166"/>
      <c r="D156" s="166"/>
      <c r="E156" s="166"/>
    </row>
    <row r="157">
      <c r="A157" s="165"/>
      <c r="C157" s="166"/>
      <c r="D157" s="166"/>
      <c r="E157" s="166"/>
    </row>
    <row r="158">
      <c r="A158" s="165"/>
      <c r="C158" s="166"/>
      <c r="D158" s="166"/>
      <c r="E158" s="166"/>
    </row>
    <row r="159">
      <c r="A159" s="165"/>
      <c r="C159" s="166"/>
      <c r="D159" s="166"/>
      <c r="E159" s="166"/>
    </row>
    <row r="160">
      <c r="A160" s="165"/>
      <c r="C160" s="166"/>
      <c r="D160" s="166"/>
      <c r="E160" s="166"/>
    </row>
    <row r="161">
      <c r="A161" s="165"/>
      <c r="C161" s="166"/>
      <c r="D161" s="166"/>
      <c r="E161" s="166"/>
    </row>
    <row r="162">
      <c r="A162" s="165"/>
      <c r="C162" s="166"/>
      <c r="D162" s="166"/>
      <c r="E162" s="166"/>
    </row>
    <row r="163">
      <c r="A163" s="165"/>
      <c r="C163" s="166"/>
      <c r="D163" s="166"/>
      <c r="E163" s="166"/>
    </row>
    <row r="164">
      <c r="A164" s="165"/>
      <c r="C164" s="166"/>
      <c r="D164" s="166"/>
      <c r="E164" s="166"/>
    </row>
    <row r="165">
      <c r="A165" s="165"/>
      <c r="C165" s="166"/>
      <c r="D165" s="166"/>
      <c r="E165" s="166"/>
    </row>
    <row r="166">
      <c r="A166" s="165"/>
      <c r="C166" s="166"/>
      <c r="D166" s="166"/>
      <c r="E166" s="166"/>
    </row>
    <row r="167">
      <c r="A167" s="165"/>
      <c r="C167" s="166"/>
      <c r="D167" s="166"/>
      <c r="E167" s="166"/>
    </row>
    <row r="168">
      <c r="A168" s="165"/>
      <c r="C168" s="166"/>
      <c r="D168" s="166"/>
      <c r="E168" s="166"/>
    </row>
    <row r="169">
      <c r="A169" s="165"/>
      <c r="C169" s="166"/>
      <c r="D169" s="166"/>
      <c r="E169" s="166"/>
    </row>
    <row r="170">
      <c r="A170" s="165"/>
      <c r="C170" s="166"/>
      <c r="D170" s="166"/>
      <c r="E170" s="166"/>
    </row>
    <row r="171">
      <c r="A171" s="165"/>
      <c r="C171" s="166"/>
      <c r="D171" s="166"/>
      <c r="E171" s="166"/>
    </row>
    <row r="172">
      <c r="A172" s="165"/>
      <c r="C172" s="166"/>
      <c r="D172" s="166"/>
      <c r="E172" s="166"/>
    </row>
    <row r="173">
      <c r="A173" s="165"/>
      <c r="C173" s="166"/>
      <c r="D173" s="166"/>
      <c r="E173" s="166"/>
    </row>
    <row r="174">
      <c r="A174" s="165"/>
      <c r="C174" s="166"/>
      <c r="D174" s="166"/>
      <c r="E174" s="166"/>
    </row>
    <row r="175">
      <c r="A175" s="165"/>
      <c r="C175" s="166"/>
      <c r="D175" s="166"/>
      <c r="E175" s="166"/>
    </row>
    <row r="176">
      <c r="A176" s="165"/>
      <c r="C176" s="166"/>
      <c r="D176" s="166"/>
      <c r="E176" s="166"/>
    </row>
    <row r="177">
      <c r="A177" s="165"/>
      <c r="C177" s="166"/>
      <c r="D177" s="166"/>
      <c r="E177" s="166"/>
    </row>
    <row r="178">
      <c r="A178" s="165"/>
      <c r="C178" s="166"/>
      <c r="D178" s="166"/>
      <c r="E178" s="166"/>
    </row>
    <row r="179">
      <c r="A179" s="165"/>
      <c r="C179" s="166"/>
      <c r="D179" s="166"/>
      <c r="E179" s="166"/>
    </row>
    <row r="180">
      <c r="A180" s="165"/>
      <c r="C180" s="166"/>
      <c r="D180" s="166"/>
      <c r="E180" s="166"/>
    </row>
    <row r="181">
      <c r="A181" s="165"/>
      <c r="C181" s="166"/>
      <c r="D181" s="166"/>
      <c r="E181" s="166"/>
    </row>
    <row r="182">
      <c r="A182" s="165"/>
      <c r="C182" s="166"/>
      <c r="D182" s="166"/>
      <c r="E182" s="166"/>
    </row>
    <row r="183">
      <c r="A183" s="165"/>
      <c r="C183" s="166"/>
      <c r="D183" s="166"/>
      <c r="E183" s="166"/>
    </row>
    <row r="184">
      <c r="A184" s="165"/>
      <c r="C184" s="166"/>
      <c r="D184" s="166"/>
      <c r="E184" s="166"/>
    </row>
    <row r="185">
      <c r="A185" s="165"/>
      <c r="C185" s="166"/>
      <c r="D185" s="166"/>
      <c r="E185" s="166"/>
    </row>
    <row r="186">
      <c r="A186" s="165"/>
      <c r="C186" s="166"/>
      <c r="D186" s="166"/>
      <c r="E186" s="166"/>
    </row>
    <row r="187">
      <c r="A187" s="165"/>
      <c r="C187" s="166"/>
      <c r="D187" s="166"/>
      <c r="E187" s="166"/>
    </row>
    <row r="188">
      <c r="A188" s="165"/>
      <c r="C188" s="166"/>
      <c r="D188" s="166"/>
      <c r="E188" s="166"/>
    </row>
    <row r="189">
      <c r="A189" s="165"/>
      <c r="C189" s="166"/>
      <c r="D189" s="166"/>
      <c r="E189" s="166"/>
    </row>
    <row r="190">
      <c r="A190" s="165"/>
      <c r="C190" s="166"/>
      <c r="D190" s="166"/>
      <c r="E190" s="166"/>
    </row>
    <row r="191">
      <c r="A191" s="165"/>
      <c r="C191" s="166"/>
      <c r="D191" s="166"/>
      <c r="E191" s="166"/>
    </row>
    <row r="192">
      <c r="A192" s="165"/>
      <c r="C192" s="166"/>
      <c r="D192" s="166"/>
      <c r="E192" s="166"/>
    </row>
    <row r="193">
      <c r="A193" s="165"/>
      <c r="C193" s="166"/>
      <c r="D193" s="166"/>
      <c r="E193" s="166"/>
    </row>
    <row r="194">
      <c r="A194" s="165"/>
      <c r="C194" s="166"/>
      <c r="D194" s="166"/>
      <c r="E194" s="166"/>
    </row>
    <row r="195">
      <c r="A195" s="165"/>
      <c r="C195" s="166"/>
      <c r="D195" s="166"/>
      <c r="E195" s="166"/>
    </row>
    <row r="196">
      <c r="A196" s="165"/>
      <c r="C196" s="166"/>
      <c r="D196" s="166"/>
      <c r="E196" s="166"/>
    </row>
    <row r="197">
      <c r="A197" s="165"/>
      <c r="C197" s="166"/>
      <c r="D197" s="166"/>
      <c r="E197" s="166"/>
    </row>
    <row r="198">
      <c r="A198" s="165"/>
      <c r="C198" s="166"/>
      <c r="D198" s="166"/>
      <c r="E198" s="166"/>
    </row>
    <row r="199">
      <c r="A199" s="165"/>
      <c r="C199" s="166"/>
      <c r="D199" s="166"/>
      <c r="E199" s="166"/>
    </row>
    <row r="200">
      <c r="A200" s="165"/>
      <c r="C200" s="166"/>
      <c r="D200" s="166"/>
      <c r="E200" s="166"/>
    </row>
    <row r="201">
      <c r="A201" s="165"/>
      <c r="C201" s="166"/>
      <c r="D201" s="166"/>
      <c r="E201" s="166"/>
    </row>
    <row r="202">
      <c r="A202" s="165"/>
      <c r="C202" s="166"/>
      <c r="D202" s="166"/>
      <c r="E202" s="166"/>
    </row>
    <row r="203">
      <c r="A203" s="165"/>
      <c r="C203" s="166"/>
      <c r="D203" s="166"/>
      <c r="E203" s="166"/>
    </row>
    <row r="204">
      <c r="A204" s="165"/>
      <c r="C204" s="166"/>
      <c r="D204" s="166"/>
      <c r="E204" s="166"/>
    </row>
    <row r="205">
      <c r="A205" s="165"/>
      <c r="C205" s="166"/>
      <c r="D205" s="166"/>
      <c r="E205" s="166"/>
    </row>
    <row r="206">
      <c r="A206" s="165"/>
      <c r="C206" s="166"/>
      <c r="D206" s="166"/>
      <c r="E206" s="166"/>
    </row>
    <row r="207">
      <c r="A207" s="165"/>
      <c r="C207" s="166"/>
      <c r="D207" s="166"/>
      <c r="E207" s="166"/>
    </row>
    <row r="208">
      <c r="A208" s="165"/>
      <c r="C208" s="166"/>
      <c r="D208" s="166"/>
      <c r="E208" s="166"/>
    </row>
    <row r="209">
      <c r="A209" s="165"/>
      <c r="C209" s="166"/>
      <c r="D209" s="166"/>
      <c r="E209" s="166"/>
    </row>
    <row r="210">
      <c r="A210" s="165"/>
      <c r="C210" s="166"/>
      <c r="D210" s="166"/>
      <c r="E210" s="166"/>
    </row>
    <row r="211">
      <c r="A211" s="165"/>
      <c r="C211" s="166"/>
      <c r="D211" s="166"/>
      <c r="E211" s="166"/>
    </row>
    <row r="212">
      <c r="A212" s="165"/>
      <c r="C212" s="166"/>
      <c r="D212" s="166"/>
      <c r="E212" s="166"/>
    </row>
    <row r="213">
      <c r="A213" s="165"/>
      <c r="C213" s="166"/>
      <c r="D213" s="166"/>
      <c r="E213" s="166"/>
    </row>
    <row r="214">
      <c r="A214" s="165"/>
      <c r="C214" s="166"/>
      <c r="D214" s="166"/>
      <c r="E214" s="166"/>
    </row>
    <row r="215">
      <c r="A215" s="165"/>
      <c r="C215" s="166"/>
      <c r="D215" s="166"/>
      <c r="E215" s="166"/>
    </row>
    <row r="216">
      <c r="A216" s="165"/>
      <c r="C216" s="166"/>
      <c r="D216" s="166"/>
      <c r="E216" s="166"/>
    </row>
    <row r="217">
      <c r="A217" s="165"/>
      <c r="C217" s="166"/>
      <c r="D217" s="166"/>
      <c r="E217" s="166"/>
    </row>
    <row r="218">
      <c r="A218" s="165"/>
      <c r="C218" s="166"/>
      <c r="D218" s="166"/>
      <c r="E218" s="166"/>
    </row>
    <row r="219">
      <c r="A219" s="165"/>
      <c r="C219" s="166"/>
      <c r="D219" s="166"/>
      <c r="E219" s="166"/>
    </row>
    <row r="220">
      <c r="A220" s="165"/>
      <c r="C220" s="166"/>
      <c r="D220" s="166"/>
      <c r="E220" s="166"/>
    </row>
    <row r="221">
      <c r="A221" s="165"/>
      <c r="C221" s="166"/>
      <c r="D221" s="166"/>
      <c r="E221" s="166"/>
    </row>
    <row r="222">
      <c r="A222" s="165"/>
      <c r="C222" s="166"/>
      <c r="D222" s="166"/>
      <c r="E222" s="166"/>
    </row>
    <row r="223">
      <c r="A223" s="165"/>
      <c r="C223" s="166"/>
      <c r="D223" s="166"/>
      <c r="E223" s="166"/>
    </row>
    <row r="224">
      <c r="A224" s="165"/>
      <c r="C224" s="166"/>
      <c r="D224" s="166"/>
      <c r="E224" s="166"/>
    </row>
    <row r="225">
      <c r="A225" s="165"/>
      <c r="C225" s="166"/>
      <c r="D225" s="166"/>
      <c r="E225" s="166"/>
    </row>
    <row r="226">
      <c r="A226" s="165"/>
      <c r="C226" s="166"/>
      <c r="D226" s="166"/>
      <c r="E226" s="166"/>
    </row>
    <row r="227">
      <c r="A227" s="165"/>
      <c r="C227" s="166"/>
      <c r="D227" s="166"/>
      <c r="E227" s="166"/>
    </row>
    <row r="228">
      <c r="A228" s="165"/>
      <c r="C228" s="166"/>
      <c r="D228" s="166"/>
      <c r="E228" s="166"/>
    </row>
    <row r="229">
      <c r="A229" s="165"/>
      <c r="C229" s="166"/>
      <c r="D229" s="166"/>
      <c r="E229" s="166"/>
    </row>
    <row r="230">
      <c r="A230" s="165"/>
      <c r="C230" s="166"/>
      <c r="D230" s="166"/>
      <c r="E230" s="166"/>
    </row>
    <row r="231">
      <c r="A231" s="165"/>
      <c r="C231" s="166"/>
      <c r="D231" s="166"/>
      <c r="E231" s="166"/>
    </row>
    <row r="232">
      <c r="A232" s="165"/>
      <c r="C232" s="166"/>
      <c r="D232" s="166"/>
      <c r="E232" s="166"/>
    </row>
    <row r="233">
      <c r="A233" s="165"/>
      <c r="C233" s="166"/>
      <c r="D233" s="166"/>
      <c r="E233" s="166"/>
    </row>
    <row r="234">
      <c r="A234" s="165"/>
      <c r="C234" s="166"/>
      <c r="D234" s="166"/>
      <c r="E234" s="166"/>
    </row>
    <row r="235">
      <c r="A235" s="165"/>
      <c r="C235" s="166"/>
      <c r="D235" s="166"/>
      <c r="E235" s="166"/>
    </row>
    <row r="236">
      <c r="A236" s="165"/>
      <c r="C236" s="166"/>
      <c r="D236" s="166"/>
      <c r="E236" s="166"/>
    </row>
    <row r="237">
      <c r="A237" s="165"/>
      <c r="C237" s="166"/>
      <c r="D237" s="166"/>
      <c r="E237" s="166"/>
    </row>
    <row r="238">
      <c r="A238" s="165"/>
      <c r="C238" s="166"/>
      <c r="D238" s="166"/>
      <c r="E238" s="166"/>
    </row>
    <row r="239">
      <c r="A239" s="165"/>
      <c r="C239" s="166"/>
      <c r="D239" s="166"/>
      <c r="E239" s="166"/>
    </row>
    <row r="240">
      <c r="A240" s="165"/>
      <c r="C240" s="166"/>
      <c r="D240" s="166"/>
      <c r="E240" s="166"/>
    </row>
    <row r="241">
      <c r="A241" s="165"/>
      <c r="C241" s="166"/>
      <c r="D241" s="166"/>
      <c r="E241" s="166"/>
    </row>
    <row r="242">
      <c r="A242" s="165"/>
      <c r="C242" s="166"/>
      <c r="D242" s="166"/>
      <c r="E242" s="166"/>
    </row>
    <row r="243">
      <c r="A243" s="165"/>
      <c r="C243" s="166"/>
      <c r="D243" s="166"/>
      <c r="E243" s="166"/>
    </row>
    <row r="244">
      <c r="A244" s="165"/>
      <c r="C244" s="166"/>
      <c r="D244" s="166"/>
      <c r="E244" s="166"/>
    </row>
    <row r="245">
      <c r="A245" s="165"/>
      <c r="C245" s="166"/>
      <c r="D245" s="166"/>
      <c r="E245" s="166"/>
    </row>
    <row r="246">
      <c r="A246" s="165"/>
      <c r="C246" s="166"/>
      <c r="D246" s="166"/>
      <c r="E246" s="166"/>
    </row>
    <row r="247">
      <c r="A247" s="165"/>
      <c r="C247" s="166"/>
      <c r="D247" s="166"/>
      <c r="E247" s="166"/>
    </row>
    <row r="248">
      <c r="A248" s="165"/>
      <c r="C248" s="166"/>
      <c r="D248" s="166"/>
      <c r="E248" s="166"/>
    </row>
    <row r="249">
      <c r="A249" s="165"/>
      <c r="C249" s="166"/>
      <c r="D249" s="166"/>
      <c r="E249" s="166"/>
    </row>
    <row r="250">
      <c r="A250" s="165"/>
      <c r="C250" s="166"/>
      <c r="D250" s="166"/>
      <c r="E250" s="166"/>
    </row>
    <row r="251">
      <c r="A251" s="165"/>
      <c r="C251" s="166"/>
      <c r="D251" s="166"/>
      <c r="E251" s="166"/>
    </row>
    <row r="252">
      <c r="A252" s="165"/>
      <c r="C252" s="166"/>
      <c r="D252" s="166"/>
      <c r="E252" s="166"/>
    </row>
    <row r="253">
      <c r="A253" s="165"/>
      <c r="C253" s="166"/>
      <c r="D253" s="166"/>
      <c r="E253" s="166"/>
    </row>
    <row r="254">
      <c r="A254" s="165"/>
      <c r="C254" s="166"/>
      <c r="D254" s="166"/>
      <c r="E254" s="166"/>
    </row>
    <row r="255">
      <c r="A255" s="165"/>
      <c r="C255" s="166"/>
      <c r="D255" s="166"/>
      <c r="E255" s="166"/>
    </row>
    <row r="256">
      <c r="A256" s="165"/>
      <c r="C256" s="166"/>
      <c r="D256" s="166"/>
      <c r="E256" s="166"/>
    </row>
    <row r="257">
      <c r="A257" s="165"/>
      <c r="C257" s="166"/>
      <c r="D257" s="166"/>
      <c r="E257" s="166"/>
    </row>
    <row r="258">
      <c r="A258" s="165"/>
      <c r="C258" s="166"/>
      <c r="D258" s="166"/>
      <c r="E258" s="166"/>
    </row>
    <row r="259">
      <c r="A259" s="165"/>
      <c r="C259" s="166"/>
      <c r="D259" s="166"/>
      <c r="E259" s="166"/>
    </row>
    <row r="260">
      <c r="A260" s="165"/>
      <c r="C260" s="166"/>
      <c r="D260" s="166"/>
      <c r="E260" s="166"/>
    </row>
    <row r="261">
      <c r="A261" s="165"/>
      <c r="C261" s="166"/>
      <c r="D261" s="166"/>
      <c r="E261" s="166"/>
    </row>
    <row r="262">
      <c r="A262" s="165"/>
      <c r="C262" s="166"/>
      <c r="D262" s="166"/>
      <c r="E262" s="166"/>
    </row>
    <row r="263">
      <c r="A263" s="165"/>
      <c r="C263" s="166"/>
      <c r="D263" s="166"/>
      <c r="E263" s="166"/>
    </row>
    <row r="264">
      <c r="A264" s="165"/>
      <c r="C264" s="166"/>
      <c r="D264" s="166"/>
      <c r="E264" s="166"/>
    </row>
    <row r="265">
      <c r="A265" s="165"/>
      <c r="C265" s="166"/>
      <c r="D265" s="166"/>
      <c r="E265" s="166"/>
    </row>
    <row r="266">
      <c r="A266" s="165"/>
      <c r="C266" s="166"/>
      <c r="D266" s="166"/>
      <c r="E266" s="166"/>
    </row>
    <row r="267">
      <c r="A267" s="165"/>
      <c r="C267" s="166"/>
      <c r="D267" s="166"/>
      <c r="E267" s="166"/>
    </row>
    <row r="268">
      <c r="A268" s="165"/>
      <c r="C268" s="166"/>
      <c r="D268" s="166"/>
      <c r="E268" s="166"/>
    </row>
    <row r="269">
      <c r="A269" s="165"/>
      <c r="C269" s="166"/>
      <c r="D269" s="166"/>
      <c r="E269" s="166"/>
    </row>
    <row r="270">
      <c r="A270" s="165"/>
      <c r="C270" s="166"/>
      <c r="D270" s="166"/>
      <c r="E270" s="166"/>
    </row>
    <row r="271">
      <c r="A271" s="165"/>
      <c r="C271" s="166"/>
      <c r="D271" s="166"/>
      <c r="E271" s="166"/>
    </row>
    <row r="272">
      <c r="A272" s="165"/>
      <c r="C272" s="166"/>
      <c r="D272" s="166"/>
      <c r="E272" s="166"/>
    </row>
    <row r="273">
      <c r="A273" s="165"/>
      <c r="C273" s="166"/>
      <c r="D273" s="166"/>
      <c r="E273" s="166"/>
    </row>
    <row r="274">
      <c r="A274" s="165"/>
      <c r="C274" s="166"/>
      <c r="D274" s="166"/>
      <c r="E274" s="166"/>
    </row>
    <row r="275">
      <c r="A275" s="165"/>
      <c r="C275" s="166"/>
      <c r="D275" s="166"/>
      <c r="E275" s="166"/>
    </row>
    <row r="276">
      <c r="A276" s="165"/>
      <c r="C276" s="166"/>
      <c r="D276" s="166"/>
      <c r="E276" s="166"/>
    </row>
    <row r="277">
      <c r="A277" s="165"/>
      <c r="C277" s="166"/>
      <c r="D277" s="166"/>
      <c r="E277" s="166"/>
    </row>
    <row r="278">
      <c r="A278" s="165"/>
      <c r="C278" s="166"/>
      <c r="D278" s="166"/>
      <c r="E278" s="166"/>
    </row>
    <row r="279">
      <c r="A279" s="165"/>
      <c r="C279" s="166"/>
      <c r="D279" s="166"/>
      <c r="E279" s="166"/>
    </row>
    <row r="280">
      <c r="A280" s="165"/>
      <c r="C280" s="166"/>
      <c r="D280" s="166"/>
      <c r="E280" s="166"/>
    </row>
    <row r="281">
      <c r="A281" s="165"/>
      <c r="C281" s="166"/>
      <c r="D281" s="166"/>
      <c r="E281" s="166"/>
    </row>
    <row r="282">
      <c r="A282" s="165"/>
      <c r="C282" s="166"/>
      <c r="D282" s="166"/>
      <c r="E282" s="166"/>
    </row>
    <row r="283">
      <c r="A283" s="165"/>
      <c r="C283" s="166"/>
      <c r="D283" s="166"/>
      <c r="E283" s="166"/>
    </row>
    <row r="284">
      <c r="A284" s="165"/>
      <c r="C284" s="166"/>
      <c r="D284" s="166"/>
      <c r="E284" s="166"/>
    </row>
    <row r="285">
      <c r="A285" s="165"/>
      <c r="C285" s="166"/>
      <c r="D285" s="166"/>
      <c r="E285" s="166"/>
    </row>
    <row r="286">
      <c r="A286" s="165"/>
      <c r="C286" s="166"/>
      <c r="D286" s="166"/>
      <c r="E286" s="166"/>
    </row>
    <row r="287">
      <c r="A287" s="165"/>
      <c r="C287" s="166"/>
      <c r="D287" s="166"/>
      <c r="E287" s="166"/>
    </row>
    <row r="288">
      <c r="A288" s="165"/>
      <c r="C288" s="166"/>
      <c r="D288" s="166"/>
      <c r="E288" s="166"/>
    </row>
    <row r="289">
      <c r="A289" s="165"/>
      <c r="C289" s="166"/>
      <c r="D289" s="166"/>
      <c r="E289" s="166"/>
    </row>
    <row r="290">
      <c r="A290" s="165"/>
      <c r="C290" s="166"/>
      <c r="D290" s="166"/>
      <c r="E290" s="166"/>
    </row>
    <row r="291">
      <c r="A291" s="165"/>
      <c r="C291" s="166"/>
      <c r="D291" s="166"/>
      <c r="E291" s="166"/>
    </row>
    <row r="292">
      <c r="A292" s="165"/>
      <c r="C292" s="166"/>
      <c r="D292" s="166"/>
      <c r="E292" s="166"/>
    </row>
    <row r="293">
      <c r="A293" s="165"/>
      <c r="C293" s="166"/>
      <c r="D293" s="166"/>
      <c r="E293" s="166"/>
    </row>
    <row r="294">
      <c r="A294" s="165"/>
      <c r="C294" s="166"/>
      <c r="D294" s="166"/>
      <c r="E294" s="166"/>
    </row>
    <row r="295">
      <c r="A295" s="165"/>
      <c r="C295" s="166"/>
      <c r="D295" s="166"/>
      <c r="E295" s="166"/>
    </row>
    <row r="296">
      <c r="A296" s="165"/>
      <c r="C296" s="166"/>
      <c r="D296" s="166"/>
      <c r="E296" s="166"/>
    </row>
    <row r="297">
      <c r="A297" s="165"/>
      <c r="C297" s="166"/>
      <c r="D297" s="166"/>
      <c r="E297" s="166"/>
    </row>
    <row r="298">
      <c r="A298" s="165"/>
      <c r="C298" s="166"/>
      <c r="D298" s="166"/>
      <c r="E298" s="166"/>
    </row>
    <row r="299">
      <c r="A299" s="165"/>
      <c r="C299" s="166"/>
      <c r="D299" s="166"/>
      <c r="E299" s="166"/>
    </row>
    <row r="300">
      <c r="A300" s="165"/>
      <c r="C300" s="166"/>
      <c r="D300" s="166"/>
      <c r="E300" s="166"/>
    </row>
    <row r="301">
      <c r="A301" s="165"/>
      <c r="C301" s="166"/>
      <c r="D301" s="166"/>
      <c r="E301" s="166"/>
    </row>
    <row r="302">
      <c r="A302" s="165"/>
      <c r="C302" s="166"/>
      <c r="D302" s="166"/>
      <c r="E302" s="166"/>
    </row>
    <row r="303">
      <c r="A303" s="165"/>
      <c r="C303" s="166"/>
      <c r="D303" s="166"/>
      <c r="E303" s="166"/>
    </row>
    <row r="304">
      <c r="A304" s="165"/>
      <c r="C304" s="166"/>
      <c r="D304" s="166"/>
      <c r="E304" s="166"/>
    </row>
    <row r="305">
      <c r="A305" s="165"/>
      <c r="C305" s="166"/>
      <c r="D305" s="166"/>
      <c r="E305" s="166"/>
    </row>
    <row r="306">
      <c r="A306" s="165"/>
      <c r="C306" s="166"/>
      <c r="D306" s="166"/>
      <c r="E306" s="166"/>
    </row>
    <row r="307">
      <c r="A307" s="165"/>
      <c r="C307" s="166"/>
      <c r="D307" s="166"/>
      <c r="E307" s="166"/>
    </row>
    <row r="308">
      <c r="A308" s="165"/>
      <c r="C308" s="166"/>
      <c r="D308" s="166"/>
      <c r="E308" s="166"/>
    </row>
    <row r="309">
      <c r="A309" s="165"/>
      <c r="C309" s="166"/>
      <c r="D309" s="166"/>
      <c r="E309" s="166"/>
    </row>
    <row r="310">
      <c r="A310" s="165"/>
      <c r="C310" s="166"/>
      <c r="D310" s="166"/>
      <c r="E310" s="166"/>
    </row>
    <row r="311">
      <c r="A311" s="165"/>
      <c r="C311" s="166"/>
      <c r="D311" s="166"/>
      <c r="E311" s="166"/>
    </row>
    <row r="312">
      <c r="A312" s="165"/>
      <c r="C312" s="166"/>
      <c r="D312" s="166"/>
      <c r="E312" s="166"/>
    </row>
    <row r="313">
      <c r="A313" s="165"/>
      <c r="C313" s="166"/>
      <c r="D313" s="166"/>
      <c r="E313" s="166"/>
    </row>
    <row r="314">
      <c r="A314" s="165"/>
      <c r="C314" s="166"/>
      <c r="D314" s="166"/>
      <c r="E314" s="166"/>
    </row>
    <row r="315">
      <c r="A315" s="165"/>
      <c r="C315" s="166"/>
      <c r="D315" s="166"/>
      <c r="E315" s="166"/>
    </row>
    <row r="316">
      <c r="A316" s="165"/>
      <c r="C316" s="166"/>
      <c r="D316" s="166"/>
      <c r="E316" s="166"/>
    </row>
    <row r="317">
      <c r="A317" s="165"/>
      <c r="C317" s="166"/>
      <c r="D317" s="166"/>
      <c r="E317" s="166"/>
    </row>
    <row r="318">
      <c r="A318" s="165"/>
      <c r="C318" s="166"/>
      <c r="D318" s="166"/>
      <c r="E318" s="166"/>
    </row>
    <row r="319">
      <c r="A319" s="165"/>
      <c r="C319" s="166"/>
      <c r="D319" s="166"/>
      <c r="E319" s="166"/>
    </row>
    <row r="320">
      <c r="A320" s="165"/>
      <c r="C320" s="166"/>
      <c r="D320" s="166"/>
      <c r="E320" s="166"/>
    </row>
    <row r="321">
      <c r="A321" s="165"/>
      <c r="C321" s="166"/>
      <c r="D321" s="166"/>
      <c r="E321" s="166"/>
    </row>
    <row r="322">
      <c r="A322" s="165"/>
      <c r="C322" s="166"/>
      <c r="D322" s="166"/>
      <c r="E322" s="166"/>
    </row>
    <row r="323">
      <c r="A323" s="165"/>
      <c r="C323" s="166"/>
      <c r="D323" s="166"/>
      <c r="E323" s="166"/>
    </row>
    <row r="324">
      <c r="A324" s="165"/>
      <c r="C324" s="166"/>
      <c r="D324" s="166"/>
      <c r="E324" s="166"/>
    </row>
    <row r="325">
      <c r="A325" s="165"/>
      <c r="C325" s="166"/>
      <c r="D325" s="166"/>
      <c r="E325" s="166"/>
    </row>
    <row r="326">
      <c r="A326" s="165"/>
      <c r="C326" s="166"/>
      <c r="D326" s="166"/>
      <c r="E326" s="166"/>
    </row>
    <row r="327">
      <c r="A327" s="165"/>
      <c r="C327" s="166"/>
      <c r="D327" s="166"/>
      <c r="E327" s="166"/>
    </row>
    <row r="328">
      <c r="A328" s="165"/>
      <c r="C328" s="166"/>
      <c r="D328" s="166"/>
      <c r="E328" s="166"/>
    </row>
    <row r="329">
      <c r="A329" s="165"/>
      <c r="C329" s="166"/>
      <c r="D329" s="166"/>
      <c r="E329" s="166"/>
    </row>
    <row r="330">
      <c r="A330" s="165"/>
      <c r="C330" s="166"/>
      <c r="D330" s="166"/>
      <c r="E330" s="166"/>
    </row>
    <row r="331">
      <c r="A331" s="165"/>
      <c r="C331" s="166"/>
      <c r="D331" s="166"/>
      <c r="E331" s="166"/>
    </row>
    <row r="332">
      <c r="A332" s="165"/>
      <c r="C332" s="166"/>
      <c r="D332" s="166"/>
      <c r="E332" s="166"/>
    </row>
    <row r="333">
      <c r="A333" s="165"/>
      <c r="C333" s="166"/>
      <c r="D333" s="166"/>
      <c r="E333" s="166"/>
    </row>
    <row r="334">
      <c r="A334" s="165"/>
      <c r="C334" s="166"/>
      <c r="D334" s="166"/>
      <c r="E334" s="166"/>
    </row>
    <row r="335">
      <c r="A335" s="165"/>
      <c r="C335" s="166"/>
      <c r="D335" s="166"/>
      <c r="E335" s="166"/>
    </row>
    <row r="336">
      <c r="A336" s="165"/>
      <c r="C336" s="166"/>
      <c r="D336" s="166"/>
      <c r="E336" s="166"/>
    </row>
    <row r="337">
      <c r="A337" s="165"/>
      <c r="C337" s="166"/>
      <c r="D337" s="166"/>
      <c r="E337" s="166"/>
    </row>
    <row r="338">
      <c r="A338" s="165"/>
      <c r="C338" s="166"/>
      <c r="D338" s="166"/>
      <c r="E338" s="166"/>
    </row>
    <row r="339">
      <c r="A339" s="165"/>
      <c r="C339" s="166"/>
      <c r="D339" s="166"/>
      <c r="E339" s="166"/>
    </row>
    <row r="340">
      <c r="A340" s="165"/>
      <c r="C340" s="166"/>
      <c r="D340" s="166"/>
      <c r="E340" s="166"/>
    </row>
    <row r="341">
      <c r="A341" s="165"/>
      <c r="C341" s="166"/>
      <c r="D341" s="166"/>
      <c r="E341" s="166"/>
    </row>
    <row r="342">
      <c r="A342" s="165"/>
      <c r="C342" s="166"/>
      <c r="D342" s="166"/>
      <c r="E342" s="166"/>
    </row>
    <row r="343">
      <c r="A343" s="165"/>
      <c r="C343" s="166"/>
      <c r="D343" s="166"/>
      <c r="E343" s="166"/>
    </row>
    <row r="344">
      <c r="A344" s="165"/>
      <c r="C344" s="166"/>
      <c r="D344" s="166"/>
      <c r="E344" s="166"/>
    </row>
    <row r="345">
      <c r="A345" s="165"/>
      <c r="C345" s="166"/>
      <c r="D345" s="166"/>
      <c r="E345" s="166"/>
    </row>
    <row r="346">
      <c r="A346" s="165"/>
      <c r="C346" s="166"/>
      <c r="D346" s="166"/>
      <c r="E346" s="166"/>
    </row>
    <row r="347">
      <c r="A347" s="165"/>
      <c r="C347" s="166"/>
      <c r="D347" s="166"/>
      <c r="E347" s="166"/>
    </row>
    <row r="348">
      <c r="A348" s="165"/>
      <c r="C348" s="166"/>
      <c r="D348" s="166"/>
      <c r="E348" s="166"/>
    </row>
    <row r="349">
      <c r="A349" s="165"/>
      <c r="C349" s="166"/>
      <c r="D349" s="166"/>
      <c r="E349" s="166"/>
    </row>
    <row r="350">
      <c r="A350" s="165"/>
      <c r="C350" s="166"/>
      <c r="D350" s="166"/>
      <c r="E350" s="166"/>
    </row>
    <row r="351">
      <c r="A351" s="165"/>
      <c r="C351" s="166"/>
      <c r="D351" s="166"/>
      <c r="E351" s="166"/>
    </row>
    <row r="352">
      <c r="A352" s="165"/>
      <c r="C352" s="166"/>
      <c r="D352" s="166"/>
      <c r="E352" s="166"/>
    </row>
    <row r="353">
      <c r="A353" s="165"/>
      <c r="C353" s="166"/>
      <c r="D353" s="166"/>
      <c r="E353" s="166"/>
    </row>
    <row r="354">
      <c r="A354" s="165"/>
      <c r="C354" s="166"/>
      <c r="D354" s="166"/>
      <c r="E354" s="166"/>
    </row>
    <row r="355">
      <c r="A355" s="165"/>
      <c r="C355" s="166"/>
      <c r="D355" s="166"/>
      <c r="E355" s="166"/>
    </row>
    <row r="356">
      <c r="A356" s="165"/>
      <c r="C356" s="166"/>
      <c r="D356" s="166"/>
      <c r="E356" s="166"/>
    </row>
    <row r="357">
      <c r="A357" s="165"/>
      <c r="C357" s="166"/>
      <c r="D357" s="166"/>
      <c r="E357" s="166"/>
    </row>
    <row r="358">
      <c r="A358" s="165"/>
      <c r="C358" s="166"/>
      <c r="D358" s="166"/>
      <c r="E358" s="166"/>
    </row>
    <row r="359">
      <c r="A359" s="165"/>
      <c r="C359" s="166"/>
      <c r="D359" s="166"/>
      <c r="E359" s="166"/>
    </row>
    <row r="360">
      <c r="A360" s="165"/>
      <c r="C360" s="166"/>
      <c r="D360" s="166"/>
      <c r="E360" s="166"/>
    </row>
    <row r="361">
      <c r="A361" s="165"/>
      <c r="C361" s="166"/>
      <c r="D361" s="166"/>
      <c r="E361" s="166"/>
    </row>
    <row r="362">
      <c r="A362" s="165"/>
      <c r="C362" s="166"/>
      <c r="D362" s="166"/>
      <c r="E362" s="166"/>
    </row>
    <row r="363">
      <c r="A363" s="165"/>
      <c r="C363" s="166"/>
      <c r="D363" s="166"/>
      <c r="E363" s="166"/>
    </row>
    <row r="364">
      <c r="A364" s="165"/>
      <c r="C364" s="166"/>
      <c r="D364" s="166"/>
      <c r="E364" s="166"/>
    </row>
    <row r="365">
      <c r="A365" s="165"/>
      <c r="C365" s="166"/>
      <c r="D365" s="166"/>
      <c r="E365" s="166"/>
    </row>
    <row r="366">
      <c r="A366" s="165"/>
      <c r="C366" s="166"/>
      <c r="D366" s="166"/>
      <c r="E366" s="166"/>
    </row>
    <row r="367">
      <c r="A367" s="165"/>
      <c r="C367" s="166"/>
      <c r="D367" s="166"/>
      <c r="E367" s="166"/>
    </row>
    <row r="368">
      <c r="A368" s="165"/>
      <c r="C368" s="166"/>
      <c r="D368" s="166"/>
      <c r="E368" s="166"/>
    </row>
    <row r="369">
      <c r="A369" s="165"/>
      <c r="C369" s="166"/>
      <c r="D369" s="166"/>
      <c r="E369" s="166"/>
    </row>
    <row r="370">
      <c r="A370" s="165"/>
      <c r="C370" s="166"/>
      <c r="D370" s="166"/>
      <c r="E370" s="166"/>
    </row>
    <row r="371">
      <c r="A371" s="165"/>
      <c r="C371" s="166"/>
      <c r="D371" s="166"/>
      <c r="E371" s="166"/>
    </row>
    <row r="372">
      <c r="A372" s="165"/>
      <c r="C372" s="166"/>
      <c r="D372" s="166"/>
      <c r="E372" s="166"/>
    </row>
    <row r="373">
      <c r="A373" s="165"/>
      <c r="C373" s="166"/>
      <c r="D373" s="166"/>
      <c r="E373" s="166"/>
    </row>
    <row r="374">
      <c r="A374" s="165"/>
      <c r="C374" s="166"/>
      <c r="D374" s="166"/>
      <c r="E374" s="166"/>
    </row>
    <row r="375">
      <c r="A375" s="165"/>
      <c r="C375" s="166"/>
      <c r="D375" s="166"/>
      <c r="E375" s="166"/>
    </row>
    <row r="376">
      <c r="A376" s="165"/>
      <c r="C376" s="166"/>
      <c r="D376" s="166"/>
      <c r="E376" s="166"/>
    </row>
    <row r="377">
      <c r="A377" s="165"/>
      <c r="C377" s="166"/>
      <c r="D377" s="166"/>
      <c r="E377" s="166"/>
    </row>
    <row r="378">
      <c r="A378" s="165"/>
      <c r="C378" s="166"/>
      <c r="D378" s="166"/>
      <c r="E378" s="166"/>
    </row>
    <row r="379">
      <c r="A379" s="165"/>
      <c r="C379" s="166"/>
      <c r="D379" s="166"/>
      <c r="E379" s="166"/>
    </row>
    <row r="380">
      <c r="A380" s="165"/>
      <c r="C380" s="166"/>
      <c r="D380" s="166"/>
      <c r="E380" s="166"/>
    </row>
    <row r="381">
      <c r="A381" s="165"/>
      <c r="C381" s="166"/>
      <c r="D381" s="166"/>
      <c r="E381" s="166"/>
    </row>
    <row r="382">
      <c r="A382" s="165"/>
      <c r="C382" s="166"/>
      <c r="D382" s="166"/>
      <c r="E382" s="166"/>
    </row>
    <row r="383">
      <c r="A383" s="165"/>
      <c r="C383" s="166"/>
      <c r="D383" s="166"/>
      <c r="E383" s="166"/>
    </row>
    <row r="384">
      <c r="A384" s="165"/>
      <c r="C384" s="166"/>
      <c r="D384" s="166"/>
      <c r="E384" s="166"/>
    </row>
    <row r="385">
      <c r="A385" s="165"/>
      <c r="C385" s="166"/>
      <c r="D385" s="166"/>
      <c r="E385" s="166"/>
    </row>
    <row r="386">
      <c r="A386" s="165"/>
      <c r="C386" s="166"/>
      <c r="D386" s="166"/>
      <c r="E386" s="166"/>
    </row>
    <row r="387">
      <c r="A387" s="165"/>
      <c r="C387" s="166"/>
      <c r="D387" s="166"/>
      <c r="E387" s="166"/>
    </row>
    <row r="388">
      <c r="A388" s="165"/>
      <c r="C388" s="166"/>
      <c r="D388" s="166"/>
      <c r="E388" s="166"/>
    </row>
    <row r="389">
      <c r="A389" s="165"/>
      <c r="C389" s="166"/>
      <c r="D389" s="166"/>
      <c r="E389" s="166"/>
    </row>
    <row r="390">
      <c r="A390" s="165"/>
      <c r="C390" s="166"/>
      <c r="D390" s="166"/>
      <c r="E390" s="166"/>
    </row>
    <row r="391">
      <c r="A391" s="165"/>
      <c r="C391" s="166"/>
      <c r="D391" s="166"/>
      <c r="E391" s="166"/>
    </row>
    <row r="392">
      <c r="A392" s="165"/>
      <c r="C392" s="166"/>
      <c r="D392" s="166"/>
      <c r="E392" s="166"/>
    </row>
    <row r="393">
      <c r="A393" s="165"/>
      <c r="C393" s="166"/>
      <c r="D393" s="166"/>
      <c r="E393" s="166"/>
    </row>
    <row r="394">
      <c r="A394" s="165"/>
      <c r="C394" s="166"/>
      <c r="D394" s="166"/>
      <c r="E394" s="166"/>
    </row>
    <row r="395">
      <c r="A395" s="165"/>
      <c r="C395" s="166"/>
      <c r="D395" s="166"/>
      <c r="E395" s="166"/>
    </row>
    <row r="396">
      <c r="A396" s="165"/>
      <c r="C396" s="166"/>
      <c r="D396" s="166"/>
      <c r="E396" s="166"/>
    </row>
    <row r="397">
      <c r="A397" s="165"/>
      <c r="C397" s="166"/>
      <c r="D397" s="166"/>
      <c r="E397" s="166"/>
    </row>
    <row r="398">
      <c r="A398" s="165"/>
      <c r="C398" s="166"/>
      <c r="D398" s="166"/>
      <c r="E398" s="166"/>
    </row>
    <row r="399">
      <c r="A399" s="165"/>
      <c r="C399" s="166"/>
      <c r="D399" s="166"/>
      <c r="E399" s="166"/>
    </row>
    <row r="400">
      <c r="A400" s="165"/>
      <c r="C400" s="166"/>
      <c r="D400" s="166"/>
      <c r="E400" s="166"/>
    </row>
    <row r="401">
      <c r="A401" s="165"/>
      <c r="C401" s="166"/>
      <c r="D401" s="166"/>
      <c r="E401" s="166"/>
    </row>
    <row r="402">
      <c r="A402" s="165"/>
      <c r="C402" s="166"/>
      <c r="D402" s="166"/>
      <c r="E402" s="166"/>
    </row>
    <row r="403">
      <c r="A403" s="165"/>
      <c r="C403" s="166"/>
      <c r="D403" s="166"/>
      <c r="E403" s="166"/>
    </row>
    <row r="404">
      <c r="A404" s="165"/>
      <c r="C404" s="166"/>
      <c r="D404" s="166"/>
      <c r="E404" s="166"/>
    </row>
    <row r="405">
      <c r="A405" s="165"/>
      <c r="C405" s="166"/>
      <c r="D405" s="166"/>
      <c r="E405" s="166"/>
    </row>
    <row r="406">
      <c r="A406" s="165"/>
      <c r="C406" s="166"/>
      <c r="D406" s="166"/>
      <c r="E406" s="166"/>
    </row>
    <row r="407">
      <c r="A407" s="165"/>
      <c r="C407" s="166"/>
      <c r="D407" s="166"/>
      <c r="E407" s="166"/>
    </row>
    <row r="408">
      <c r="A408" s="165"/>
      <c r="C408" s="166"/>
      <c r="D408" s="166"/>
      <c r="E408" s="166"/>
    </row>
    <row r="409">
      <c r="A409" s="165"/>
      <c r="C409" s="166"/>
      <c r="D409" s="166"/>
      <c r="E409" s="166"/>
    </row>
    <row r="410">
      <c r="A410" s="165"/>
      <c r="C410" s="166"/>
      <c r="D410" s="166"/>
      <c r="E410" s="166"/>
    </row>
    <row r="411">
      <c r="A411" s="165"/>
      <c r="C411" s="166"/>
      <c r="D411" s="166"/>
      <c r="E411" s="166"/>
    </row>
    <row r="412">
      <c r="A412" s="165"/>
      <c r="C412" s="166"/>
      <c r="D412" s="166"/>
      <c r="E412" s="166"/>
    </row>
    <row r="413">
      <c r="A413" s="165"/>
      <c r="C413" s="166"/>
      <c r="D413" s="166"/>
      <c r="E413" s="166"/>
    </row>
    <row r="414">
      <c r="A414" s="165"/>
      <c r="C414" s="166"/>
      <c r="D414" s="166"/>
      <c r="E414" s="166"/>
    </row>
    <row r="415">
      <c r="A415" s="165"/>
      <c r="C415" s="166"/>
      <c r="D415" s="166"/>
      <c r="E415" s="166"/>
    </row>
    <row r="416">
      <c r="A416" s="165"/>
      <c r="C416" s="166"/>
      <c r="D416" s="166"/>
      <c r="E416" s="166"/>
    </row>
    <row r="417">
      <c r="A417" s="165"/>
      <c r="C417" s="166"/>
      <c r="D417" s="166"/>
      <c r="E417" s="166"/>
    </row>
    <row r="418">
      <c r="A418" s="165"/>
      <c r="C418" s="166"/>
      <c r="D418" s="166"/>
      <c r="E418" s="166"/>
    </row>
    <row r="419">
      <c r="A419" s="165"/>
      <c r="C419" s="166"/>
      <c r="D419" s="166"/>
      <c r="E419" s="166"/>
    </row>
    <row r="420">
      <c r="A420" s="165"/>
      <c r="C420" s="166"/>
      <c r="D420" s="166"/>
      <c r="E420" s="166"/>
    </row>
    <row r="421">
      <c r="A421" s="165"/>
      <c r="C421" s="166"/>
      <c r="D421" s="166"/>
      <c r="E421" s="166"/>
    </row>
    <row r="422">
      <c r="A422" s="165"/>
      <c r="C422" s="166"/>
      <c r="D422" s="166"/>
      <c r="E422" s="166"/>
    </row>
    <row r="423">
      <c r="A423" s="165"/>
      <c r="C423" s="166"/>
      <c r="D423" s="166"/>
      <c r="E423" s="166"/>
    </row>
    <row r="424">
      <c r="A424" s="165"/>
      <c r="C424" s="166"/>
      <c r="D424" s="166"/>
      <c r="E424" s="166"/>
    </row>
    <row r="425">
      <c r="A425" s="165"/>
      <c r="C425" s="166"/>
      <c r="D425" s="166"/>
      <c r="E425" s="166"/>
    </row>
    <row r="426">
      <c r="A426" s="165"/>
      <c r="C426" s="166"/>
      <c r="D426" s="166"/>
      <c r="E426" s="166"/>
    </row>
    <row r="427">
      <c r="A427" s="165"/>
      <c r="C427" s="166"/>
      <c r="D427" s="166"/>
      <c r="E427" s="166"/>
    </row>
    <row r="428">
      <c r="A428" s="165"/>
      <c r="C428" s="166"/>
      <c r="D428" s="166"/>
      <c r="E428" s="166"/>
    </row>
    <row r="429">
      <c r="A429" s="165"/>
      <c r="C429" s="166"/>
      <c r="D429" s="166"/>
      <c r="E429" s="166"/>
    </row>
    <row r="430">
      <c r="A430" s="165"/>
      <c r="C430" s="166"/>
      <c r="D430" s="166"/>
      <c r="E430" s="166"/>
    </row>
    <row r="431">
      <c r="A431" s="165"/>
      <c r="C431" s="166"/>
      <c r="D431" s="166"/>
      <c r="E431" s="166"/>
    </row>
    <row r="432">
      <c r="A432" s="165"/>
      <c r="C432" s="166"/>
      <c r="D432" s="166"/>
      <c r="E432" s="166"/>
    </row>
    <row r="433">
      <c r="A433" s="165"/>
      <c r="C433" s="166"/>
      <c r="D433" s="166"/>
      <c r="E433" s="166"/>
    </row>
    <row r="434">
      <c r="A434" s="165"/>
      <c r="C434" s="166"/>
      <c r="D434" s="166"/>
      <c r="E434" s="166"/>
    </row>
    <row r="435">
      <c r="A435" s="165"/>
      <c r="C435" s="166"/>
      <c r="D435" s="166"/>
      <c r="E435" s="166"/>
    </row>
    <row r="436">
      <c r="A436" s="165"/>
      <c r="C436" s="166"/>
      <c r="D436" s="166"/>
      <c r="E436" s="166"/>
    </row>
    <row r="437">
      <c r="A437" s="165"/>
      <c r="C437" s="166"/>
      <c r="D437" s="166"/>
      <c r="E437" s="166"/>
    </row>
    <row r="438">
      <c r="A438" s="165"/>
      <c r="C438" s="166"/>
      <c r="D438" s="166"/>
      <c r="E438" s="166"/>
    </row>
    <row r="439">
      <c r="A439" s="165"/>
      <c r="C439" s="166"/>
      <c r="D439" s="166"/>
      <c r="E439" s="166"/>
    </row>
    <row r="440">
      <c r="A440" s="165"/>
      <c r="C440" s="166"/>
      <c r="D440" s="166"/>
      <c r="E440" s="166"/>
    </row>
    <row r="441">
      <c r="A441" s="165"/>
      <c r="C441" s="166"/>
      <c r="D441" s="166"/>
      <c r="E441" s="166"/>
    </row>
    <row r="442">
      <c r="A442" s="165"/>
      <c r="C442" s="166"/>
      <c r="D442" s="166"/>
      <c r="E442" s="166"/>
    </row>
    <row r="443">
      <c r="A443" s="165"/>
      <c r="C443" s="166"/>
      <c r="D443" s="166"/>
      <c r="E443" s="166"/>
    </row>
    <row r="444">
      <c r="A444" s="165"/>
      <c r="C444" s="166"/>
      <c r="D444" s="166"/>
      <c r="E444" s="166"/>
    </row>
    <row r="445">
      <c r="A445" s="165"/>
      <c r="C445" s="166"/>
      <c r="D445" s="166"/>
      <c r="E445" s="166"/>
    </row>
    <row r="446">
      <c r="A446" s="165"/>
      <c r="C446" s="166"/>
      <c r="D446" s="166"/>
      <c r="E446" s="166"/>
    </row>
    <row r="447">
      <c r="A447" s="165"/>
      <c r="C447" s="166"/>
      <c r="D447" s="166"/>
      <c r="E447" s="166"/>
    </row>
    <row r="448">
      <c r="A448" s="165"/>
      <c r="C448" s="166"/>
      <c r="D448" s="166"/>
      <c r="E448" s="166"/>
    </row>
    <row r="449">
      <c r="A449" s="165"/>
      <c r="C449" s="166"/>
      <c r="D449" s="166"/>
      <c r="E449" s="166"/>
    </row>
    <row r="450">
      <c r="A450" s="165"/>
      <c r="C450" s="166"/>
      <c r="D450" s="166"/>
      <c r="E450" s="166"/>
    </row>
    <row r="451">
      <c r="A451" s="165"/>
      <c r="C451" s="166"/>
      <c r="D451" s="166"/>
      <c r="E451" s="166"/>
    </row>
    <row r="452">
      <c r="A452" s="165"/>
      <c r="C452" s="166"/>
      <c r="D452" s="166"/>
      <c r="E452" s="166"/>
    </row>
    <row r="453">
      <c r="A453" s="165"/>
      <c r="C453" s="166"/>
      <c r="D453" s="166"/>
      <c r="E453" s="166"/>
    </row>
    <row r="454">
      <c r="A454" s="165"/>
      <c r="C454" s="166"/>
      <c r="D454" s="166"/>
      <c r="E454" s="166"/>
    </row>
    <row r="455">
      <c r="A455" s="165"/>
      <c r="C455" s="166"/>
      <c r="D455" s="166"/>
      <c r="E455" s="166"/>
    </row>
    <row r="456">
      <c r="A456" s="165"/>
      <c r="C456" s="166"/>
      <c r="D456" s="166"/>
      <c r="E456" s="166"/>
    </row>
    <row r="457">
      <c r="A457" s="165"/>
      <c r="C457" s="166"/>
      <c r="D457" s="166"/>
      <c r="E457" s="166"/>
    </row>
    <row r="458">
      <c r="A458" s="165"/>
      <c r="C458" s="166"/>
      <c r="D458" s="166"/>
      <c r="E458" s="166"/>
    </row>
    <row r="459">
      <c r="A459" s="165"/>
      <c r="C459" s="166"/>
      <c r="D459" s="166"/>
      <c r="E459" s="166"/>
    </row>
    <row r="460">
      <c r="A460" s="165"/>
      <c r="C460" s="166"/>
      <c r="D460" s="166"/>
      <c r="E460" s="166"/>
    </row>
    <row r="461">
      <c r="A461" s="165"/>
      <c r="C461" s="166"/>
      <c r="D461" s="166"/>
      <c r="E461" s="166"/>
    </row>
    <row r="462">
      <c r="A462" s="165"/>
      <c r="C462" s="166"/>
      <c r="D462" s="166"/>
      <c r="E462" s="166"/>
    </row>
    <row r="463">
      <c r="A463" s="165"/>
      <c r="C463" s="166"/>
      <c r="D463" s="166"/>
      <c r="E463" s="166"/>
    </row>
    <row r="464">
      <c r="A464" s="165"/>
      <c r="C464" s="166"/>
      <c r="D464" s="166"/>
      <c r="E464" s="166"/>
    </row>
    <row r="465">
      <c r="A465" s="165"/>
      <c r="C465" s="166"/>
      <c r="D465" s="166"/>
      <c r="E465" s="166"/>
    </row>
    <row r="466">
      <c r="A466" s="165"/>
      <c r="C466" s="166"/>
      <c r="D466" s="166"/>
      <c r="E466" s="166"/>
    </row>
    <row r="467">
      <c r="A467" s="165"/>
      <c r="C467" s="166"/>
      <c r="D467" s="166"/>
      <c r="E467" s="166"/>
    </row>
    <row r="468">
      <c r="A468" s="165"/>
      <c r="C468" s="166"/>
      <c r="D468" s="166"/>
      <c r="E468" s="166"/>
    </row>
    <row r="469">
      <c r="A469" s="165"/>
      <c r="C469" s="166"/>
      <c r="D469" s="166"/>
      <c r="E469" s="166"/>
    </row>
    <row r="470">
      <c r="A470" s="165"/>
      <c r="C470" s="166"/>
      <c r="D470" s="166"/>
      <c r="E470" s="166"/>
    </row>
    <row r="471">
      <c r="A471" s="165"/>
      <c r="C471" s="166"/>
      <c r="D471" s="166"/>
      <c r="E471" s="166"/>
    </row>
    <row r="472">
      <c r="A472" s="165"/>
      <c r="C472" s="166"/>
      <c r="D472" s="166"/>
      <c r="E472" s="166"/>
    </row>
    <row r="473">
      <c r="A473" s="165"/>
      <c r="C473" s="166"/>
      <c r="D473" s="166"/>
      <c r="E473" s="166"/>
    </row>
    <row r="474">
      <c r="A474" s="165"/>
      <c r="C474" s="166"/>
      <c r="D474" s="166"/>
      <c r="E474" s="166"/>
    </row>
    <row r="475">
      <c r="A475" s="165"/>
      <c r="C475" s="166"/>
      <c r="D475" s="166"/>
      <c r="E475" s="166"/>
    </row>
    <row r="476">
      <c r="A476" s="165"/>
      <c r="C476" s="166"/>
      <c r="D476" s="166"/>
      <c r="E476" s="166"/>
    </row>
    <row r="477">
      <c r="A477" s="165"/>
      <c r="C477" s="166"/>
      <c r="D477" s="166"/>
      <c r="E477" s="166"/>
    </row>
    <row r="478">
      <c r="A478" s="165"/>
      <c r="C478" s="166"/>
      <c r="D478" s="166"/>
      <c r="E478" s="166"/>
    </row>
    <row r="479">
      <c r="A479" s="165"/>
      <c r="C479" s="166"/>
      <c r="D479" s="166"/>
      <c r="E479" s="166"/>
    </row>
    <row r="480">
      <c r="A480" s="165"/>
      <c r="C480" s="166"/>
      <c r="D480" s="166"/>
      <c r="E480" s="166"/>
    </row>
    <row r="481">
      <c r="A481" s="165"/>
      <c r="C481" s="166"/>
      <c r="D481" s="166"/>
      <c r="E481" s="166"/>
    </row>
    <row r="482">
      <c r="A482" s="165"/>
      <c r="C482" s="166"/>
      <c r="D482" s="166"/>
      <c r="E482" s="166"/>
    </row>
    <row r="483">
      <c r="A483" s="165"/>
      <c r="C483" s="166"/>
      <c r="D483" s="166"/>
      <c r="E483" s="166"/>
    </row>
    <row r="484">
      <c r="A484" s="165"/>
      <c r="C484" s="166"/>
      <c r="D484" s="166"/>
      <c r="E484" s="166"/>
    </row>
    <row r="485">
      <c r="A485" s="165"/>
      <c r="C485" s="166"/>
      <c r="D485" s="166"/>
      <c r="E485" s="166"/>
    </row>
    <row r="486">
      <c r="A486" s="165"/>
      <c r="C486" s="166"/>
      <c r="D486" s="166"/>
      <c r="E486" s="166"/>
    </row>
    <row r="487">
      <c r="A487" s="165"/>
      <c r="C487" s="166"/>
      <c r="D487" s="166"/>
      <c r="E487" s="166"/>
    </row>
    <row r="488">
      <c r="A488" s="165"/>
      <c r="C488" s="166"/>
      <c r="D488" s="166"/>
      <c r="E488" s="166"/>
    </row>
    <row r="489">
      <c r="A489" s="165"/>
      <c r="C489" s="166"/>
      <c r="D489" s="166"/>
      <c r="E489" s="166"/>
    </row>
    <row r="490">
      <c r="A490" s="165"/>
      <c r="C490" s="166"/>
      <c r="D490" s="166"/>
      <c r="E490" s="166"/>
    </row>
    <row r="491">
      <c r="A491" s="165"/>
      <c r="C491" s="166"/>
      <c r="D491" s="166"/>
      <c r="E491" s="166"/>
    </row>
    <row r="492">
      <c r="A492" s="165"/>
      <c r="C492" s="166"/>
      <c r="D492" s="166"/>
      <c r="E492" s="166"/>
    </row>
    <row r="493">
      <c r="A493" s="165"/>
      <c r="C493" s="166"/>
      <c r="D493" s="166"/>
      <c r="E493" s="166"/>
    </row>
    <row r="494">
      <c r="A494" s="165"/>
      <c r="C494" s="166"/>
      <c r="D494" s="166"/>
      <c r="E494" s="166"/>
    </row>
    <row r="495">
      <c r="A495" s="165"/>
      <c r="C495" s="166"/>
      <c r="D495" s="166"/>
      <c r="E495" s="166"/>
    </row>
    <row r="496">
      <c r="A496" s="165"/>
      <c r="C496" s="166"/>
      <c r="D496" s="166"/>
      <c r="E496" s="166"/>
    </row>
    <row r="497">
      <c r="A497" s="165"/>
      <c r="C497" s="166"/>
      <c r="D497" s="166"/>
      <c r="E497" s="166"/>
    </row>
    <row r="498">
      <c r="A498" s="165"/>
      <c r="C498" s="166"/>
      <c r="D498" s="166"/>
      <c r="E498" s="166"/>
    </row>
    <row r="499">
      <c r="A499" s="165"/>
      <c r="C499" s="166"/>
      <c r="D499" s="166"/>
      <c r="E499" s="166"/>
    </row>
    <row r="500">
      <c r="A500" s="165"/>
      <c r="C500" s="166"/>
      <c r="D500" s="166"/>
      <c r="E500" s="166"/>
    </row>
    <row r="501">
      <c r="A501" s="165"/>
      <c r="C501" s="166"/>
      <c r="D501" s="166"/>
      <c r="E501" s="166"/>
    </row>
    <row r="502">
      <c r="A502" s="165"/>
      <c r="C502" s="166"/>
      <c r="D502" s="166"/>
      <c r="E502" s="166"/>
    </row>
    <row r="503">
      <c r="A503" s="165"/>
      <c r="C503" s="166"/>
      <c r="D503" s="166"/>
      <c r="E503" s="166"/>
    </row>
    <row r="504">
      <c r="A504" s="165"/>
      <c r="C504" s="166"/>
      <c r="D504" s="166"/>
      <c r="E504" s="166"/>
    </row>
    <row r="505">
      <c r="A505" s="165"/>
      <c r="C505" s="166"/>
      <c r="D505" s="166"/>
      <c r="E505" s="166"/>
    </row>
    <row r="506">
      <c r="A506" s="165"/>
      <c r="C506" s="166"/>
      <c r="D506" s="166"/>
      <c r="E506" s="166"/>
    </row>
    <row r="507">
      <c r="A507" s="165"/>
      <c r="C507" s="166"/>
      <c r="D507" s="166"/>
      <c r="E507" s="166"/>
    </row>
    <row r="508">
      <c r="A508" s="165"/>
      <c r="C508" s="166"/>
      <c r="D508" s="166"/>
      <c r="E508" s="166"/>
    </row>
    <row r="509">
      <c r="A509" s="165"/>
      <c r="C509" s="166"/>
      <c r="D509" s="166"/>
      <c r="E509" s="166"/>
    </row>
    <row r="510">
      <c r="A510" s="165"/>
      <c r="C510" s="166"/>
      <c r="D510" s="166"/>
      <c r="E510" s="166"/>
    </row>
    <row r="511">
      <c r="A511" s="165"/>
      <c r="C511" s="166"/>
      <c r="D511" s="166"/>
      <c r="E511" s="166"/>
    </row>
    <row r="512">
      <c r="A512" s="165"/>
      <c r="C512" s="166"/>
      <c r="D512" s="166"/>
      <c r="E512" s="166"/>
    </row>
    <row r="513">
      <c r="A513" s="165"/>
      <c r="C513" s="166"/>
      <c r="D513" s="166"/>
      <c r="E513" s="166"/>
    </row>
    <row r="514">
      <c r="A514" s="165"/>
      <c r="C514" s="166"/>
      <c r="D514" s="166"/>
      <c r="E514" s="166"/>
    </row>
    <row r="515">
      <c r="A515" s="165"/>
      <c r="C515" s="166"/>
      <c r="D515" s="166"/>
      <c r="E515" s="166"/>
    </row>
    <row r="516">
      <c r="A516" s="165"/>
      <c r="C516" s="166"/>
      <c r="D516" s="166"/>
      <c r="E516" s="166"/>
    </row>
    <row r="517">
      <c r="A517" s="165"/>
      <c r="C517" s="166"/>
      <c r="D517" s="166"/>
      <c r="E517" s="166"/>
    </row>
    <row r="518">
      <c r="A518" s="165"/>
      <c r="C518" s="166"/>
      <c r="D518" s="166"/>
      <c r="E518" s="166"/>
    </row>
    <row r="519">
      <c r="A519" s="165"/>
      <c r="C519" s="166"/>
      <c r="D519" s="166"/>
      <c r="E519" s="166"/>
    </row>
    <row r="520">
      <c r="A520" s="165"/>
      <c r="C520" s="166"/>
      <c r="D520" s="166"/>
      <c r="E520" s="166"/>
    </row>
    <row r="521">
      <c r="A521" s="165"/>
      <c r="C521" s="166"/>
      <c r="D521" s="166"/>
      <c r="E521" s="166"/>
    </row>
    <row r="522">
      <c r="A522" s="165"/>
      <c r="C522" s="166"/>
      <c r="D522" s="166"/>
      <c r="E522" s="166"/>
    </row>
    <row r="523">
      <c r="A523" s="165"/>
      <c r="C523" s="166"/>
      <c r="D523" s="166"/>
      <c r="E523" s="166"/>
    </row>
    <row r="524">
      <c r="A524" s="165"/>
      <c r="C524" s="166"/>
      <c r="D524" s="166"/>
      <c r="E524" s="166"/>
    </row>
    <row r="525">
      <c r="A525" s="165"/>
      <c r="C525" s="166"/>
      <c r="D525" s="166"/>
      <c r="E525" s="166"/>
    </row>
    <row r="526">
      <c r="A526" s="165"/>
      <c r="C526" s="166"/>
      <c r="D526" s="166"/>
      <c r="E526" s="166"/>
    </row>
    <row r="527">
      <c r="A527" s="165"/>
      <c r="C527" s="166"/>
      <c r="D527" s="166"/>
      <c r="E527" s="166"/>
    </row>
    <row r="528">
      <c r="A528" s="165"/>
      <c r="C528" s="166"/>
      <c r="D528" s="166"/>
      <c r="E528" s="166"/>
    </row>
    <row r="529">
      <c r="A529" s="165"/>
      <c r="C529" s="166"/>
      <c r="D529" s="166"/>
      <c r="E529" s="166"/>
    </row>
    <row r="530">
      <c r="A530" s="165"/>
      <c r="C530" s="166"/>
      <c r="D530" s="166"/>
      <c r="E530" s="166"/>
    </row>
    <row r="531">
      <c r="A531" s="165"/>
      <c r="C531" s="166"/>
      <c r="D531" s="166"/>
      <c r="E531" s="166"/>
    </row>
    <row r="532">
      <c r="A532" s="165"/>
      <c r="C532" s="166"/>
      <c r="D532" s="166"/>
      <c r="E532" s="166"/>
    </row>
    <row r="533">
      <c r="A533" s="165"/>
      <c r="C533" s="166"/>
      <c r="D533" s="166"/>
      <c r="E533" s="166"/>
    </row>
    <row r="534">
      <c r="A534" s="165"/>
      <c r="C534" s="166"/>
      <c r="D534" s="166"/>
      <c r="E534" s="166"/>
    </row>
    <row r="535">
      <c r="A535" s="165"/>
      <c r="C535" s="166"/>
      <c r="D535" s="166"/>
      <c r="E535" s="166"/>
    </row>
    <row r="536">
      <c r="A536" s="165"/>
      <c r="C536" s="166"/>
      <c r="D536" s="166"/>
      <c r="E536" s="166"/>
    </row>
    <row r="537">
      <c r="A537" s="165"/>
      <c r="C537" s="166"/>
      <c r="D537" s="166"/>
      <c r="E537" s="166"/>
    </row>
    <row r="538">
      <c r="A538" s="165"/>
      <c r="C538" s="166"/>
      <c r="D538" s="166"/>
      <c r="E538" s="166"/>
    </row>
    <row r="539">
      <c r="A539" s="165"/>
      <c r="C539" s="166"/>
      <c r="D539" s="166"/>
      <c r="E539" s="166"/>
    </row>
    <row r="540">
      <c r="A540" s="165"/>
      <c r="C540" s="166"/>
      <c r="D540" s="166"/>
      <c r="E540" s="166"/>
    </row>
    <row r="541">
      <c r="A541" s="165"/>
      <c r="C541" s="166"/>
      <c r="D541" s="166"/>
      <c r="E541" s="166"/>
    </row>
    <row r="542">
      <c r="A542" s="165"/>
      <c r="C542" s="166"/>
      <c r="D542" s="166"/>
      <c r="E542" s="166"/>
    </row>
    <row r="543">
      <c r="A543" s="165"/>
      <c r="C543" s="166"/>
      <c r="D543" s="166"/>
      <c r="E543" s="166"/>
    </row>
    <row r="544">
      <c r="A544" s="165"/>
      <c r="C544" s="166"/>
      <c r="D544" s="166"/>
      <c r="E544" s="166"/>
    </row>
    <row r="545">
      <c r="A545" s="165"/>
      <c r="C545" s="166"/>
      <c r="D545" s="166"/>
      <c r="E545" s="166"/>
    </row>
    <row r="546">
      <c r="A546" s="165"/>
      <c r="C546" s="166"/>
      <c r="D546" s="166"/>
      <c r="E546" s="166"/>
    </row>
    <row r="547">
      <c r="A547" s="165"/>
      <c r="C547" s="166"/>
      <c r="D547" s="166"/>
      <c r="E547" s="166"/>
    </row>
    <row r="548">
      <c r="A548" s="165"/>
      <c r="C548" s="166"/>
      <c r="D548" s="166"/>
      <c r="E548" s="166"/>
    </row>
    <row r="549">
      <c r="A549" s="165"/>
      <c r="C549" s="166"/>
      <c r="D549" s="166"/>
      <c r="E549" s="166"/>
    </row>
    <row r="550">
      <c r="A550" s="165"/>
      <c r="C550" s="166"/>
      <c r="D550" s="166"/>
      <c r="E550" s="166"/>
    </row>
    <row r="551">
      <c r="A551" s="165"/>
      <c r="C551" s="166"/>
      <c r="D551" s="166"/>
      <c r="E551" s="166"/>
    </row>
    <row r="552">
      <c r="A552" s="165"/>
      <c r="C552" s="166"/>
      <c r="D552" s="166"/>
      <c r="E552" s="166"/>
    </row>
    <row r="553">
      <c r="A553" s="165"/>
      <c r="C553" s="166"/>
      <c r="D553" s="166"/>
      <c r="E553" s="166"/>
    </row>
    <row r="554">
      <c r="A554" s="165"/>
      <c r="C554" s="166"/>
      <c r="D554" s="166"/>
      <c r="E554" s="166"/>
    </row>
    <row r="555">
      <c r="A555" s="165"/>
      <c r="C555" s="166"/>
      <c r="D555" s="166"/>
      <c r="E555" s="166"/>
    </row>
    <row r="556">
      <c r="A556" s="165"/>
      <c r="C556" s="166"/>
      <c r="D556" s="166"/>
      <c r="E556" s="166"/>
    </row>
    <row r="557">
      <c r="A557" s="165"/>
      <c r="C557" s="166"/>
      <c r="D557" s="166"/>
      <c r="E557" s="166"/>
    </row>
    <row r="558">
      <c r="A558" s="165"/>
      <c r="C558" s="166"/>
      <c r="D558" s="166"/>
      <c r="E558" s="166"/>
    </row>
    <row r="559">
      <c r="A559" s="165"/>
      <c r="C559" s="166"/>
      <c r="D559" s="166"/>
      <c r="E559" s="166"/>
    </row>
    <row r="560">
      <c r="A560" s="165"/>
      <c r="C560" s="166"/>
      <c r="D560" s="166"/>
      <c r="E560" s="166"/>
    </row>
    <row r="561">
      <c r="A561" s="165"/>
      <c r="C561" s="166"/>
      <c r="D561" s="166"/>
      <c r="E561" s="166"/>
    </row>
    <row r="562">
      <c r="A562" s="165"/>
      <c r="C562" s="166"/>
      <c r="D562" s="166"/>
      <c r="E562" s="166"/>
    </row>
    <row r="563">
      <c r="A563" s="165"/>
      <c r="C563" s="166"/>
      <c r="D563" s="166"/>
      <c r="E563" s="166"/>
    </row>
    <row r="564">
      <c r="A564" s="165"/>
      <c r="C564" s="166"/>
      <c r="D564" s="166"/>
      <c r="E564" s="166"/>
    </row>
    <row r="565">
      <c r="A565" s="165"/>
      <c r="C565" s="166"/>
      <c r="D565" s="166"/>
      <c r="E565" s="166"/>
    </row>
    <row r="566">
      <c r="A566" s="165"/>
      <c r="C566" s="166"/>
      <c r="D566" s="166"/>
      <c r="E566" s="166"/>
    </row>
    <row r="567">
      <c r="A567" s="165"/>
      <c r="C567" s="166"/>
      <c r="D567" s="166"/>
      <c r="E567" s="166"/>
    </row>
    <row r="568">
      <c r="A568" s="165"/>
      <c r="C568" s="166"/>
      <c r="D568" s="166"/>
      <c r="E568" s="166"/>
    </row>
    <row r="569">
      <c r="A569" s="165"/>
      <c r="C569" s="166"/>
      <c r="D569" s="166"/>
      <c r="E569" s="166"/>
    </row>
    <row r="570">
      <c r="A570" s="165"/>
      <c r="C570" s="166"/>
      <c r="D570" s="166"/>
      <c r="E570" s="166"/>
    </row>
    <row r="571">
      <c r="A571" s="165"/>
      <c r="C571" s="166"/>
      <c r="D571" s="166"/>
      <c r="E571" s="166"/>
    </row>
    <row r="572">
      <c r="A572" s="165"/>
      <c r="C572" s="166"/>
      <c r="D572" s="166"/>
      <c r="E572" s="166"/>
    </row>
    <row r="573">
      <c r="A573" s="165"/>
      <c r="C573" s="166"/>
      <c r="D573" s="166"/>
      <c r="E573" s="166"/>
    </row>
    <row r="574">
      <c r="A574" s="165"/>
      <c r="C574" s="166"/>
      <c r="D574" s="166"/>
      <c r="E574" s="166"/>
    </row>
    <row r="575">
      <c r="A575" s="165"/>
      <c r="C575" s="166"/>
      <c r="D575" s="166"/>
      <c r="E575" s="166"/>
    </row>
    <row r="576">
      <c r="A576" s="165"/>
      <c r="C576" s="166"/>
      <c r="D576" s="166"/>
      <c r="E576" s="166"/>
    </row>
    <row r="577">
      <c r="A577" s="165"/>
      <c r="C577" s="166"/>
      <c r="D577" s="166"/>
      <c r="E577" s="166"/>
    </row>
    <row r="578">
      <c r="A578" s="165"/>
      <c r="C578" s="166"/>
      <c r="D578" s="166"/>
      <c r="E578" s="166"/>
    </row>
    <row r="579">
      <c r="A579" s="165"/>
      <c r="C579" s="166"/>
      <c r="D579" s="166"/>
      <c r="E579" s="166"/>
    </row>
    <row r="580">
      <c r="A580" s="165"/>
      <c r="C580" s="166"/>
      <c r="D580" s="166"/>
      <c r="E580" s="166"/>
    </row>
    <row r="581">
      <c r="A581" s="165"/>
      <c r="C581" s="166"/>
      <c r="D581" s="166"/>
      <c r="E581" s="166"/>
    </row>
    <row r="582">
      <c r="A582" s="165"/>
      <c r="C582" s="166"/>
      <c r="D582" s="166"/>
      <c r="E582" s="166"/>
    </row>
    <row r="583">
      <c r="A583" s="165"/>
      <c r="C583" s="166"/>
      <c r="D583" s="166"/>
      <c r="E583" s="166"/>
    </row>
    <row r="584">
      <c r="A584" s="165"/>
      <c r="C584" s="166"/>
      <c r="D584" s="166"/>
      <c r="E584" s="166"/>
    </row>
    <row r="585">
      <c r="A585" s="165"/>
      <c r="C585" s="166"/>
      <c r="D585" s="166"/>
      <c r="E585" s="166"/>
    </row>
    <row r="586">
      <c r="A586" s="165"/>
      <c r="C586" s="166"/>
      <c r="D586" s="166"/>
      <c r="E586" s="166"/>
    </row>
    <row r="587">
      <c r="A587" s="165"/>
      <c r="C587" s="166"/>
      <c r="D587" s="166"/>
      <c r="E587" s="166"/>
    </row>
    <row r="588">
      <c r="A588" s="165"/>
      <c r="C588" s="166"/>
      <c r="D588" s="166"/>
      <c r="E588" s="166"/>
    </row>
    <row r="589">
      <c r="A589" s="165"/>
      <c r="C589" s="166"/>
      <c r="D589" s="166"/>
      <c r="E589" s="166"/>
    </row>
    <row r="590">
      <c r="A590" s="165"/>
      <c r="C590" s="166"/>
      <c r="D590" s="166"/>
      <c r="E590" s="166"/>
    </row>
    <row r="591">
      <c r="A591" s="165"/>
      <c r="C591" s="166"/>
      <c r="D591" s="166"/>
      <c r="E591" s="166"/>
    </row>
    <row r="592">
      <c r="A592" s="165"/>
      <c r="C592" s="166"/>
      <c r="D592" s="166"/>
      <c r="E592" s="166"/>
    </row>
    <row r="593">
      <c r="A593" s="165"/>
      <c r="C593" s="166"/>
      <c r="D593" s="166"/>
      <c r="E593" s="166"/>
    </row>
    <row r="594">
      <c r="A594" s="165"/>
      <c r="C594" s="166"/>
      <c r="D594" s="166"/>
      <c r="E594" s="166"/>
    </row>
    <row r="595">
      <c r="A595" s="165"/>
      <c r="C595" s="166"/>
      <c r="D595" s="166"/>
      <c r="E595" s="166"/>
    </row>
    <row r="596">
      <c r="A596" s="165"/>
      <c r="C596" s="166"/>
      <c r="D596" s="166"/>
      <c r="E596" s="166"/>
    </row>
    <row r="597">
      <c r="A597" s="165"/>
      <c r="C597" s="166"/>
      <c r="D597" s="166"/>
      <c r="E597" s="166"/>
    </row>
    <row r="598">
      <c r="A598" s="165"/>
      <c r="C598" s="166"/>
      <c r="D598" s="166"/>
      <c r="E598" s="166"/>
    </row>
    <row r="599">
      <c r="A599" s="165"/>
      <c r="C599" s="166"/>
      <c r="D599" s="166"/>
      <c r="E599" s="166"/>
    </row>
    <row r="600">
      <c r="A600" s="165"/>
      <c r="C600" s="166"/>
      <c r="D600" s="166"/>
      <c r="E600" s="166"/>
    </row>
    <row r="601">
      <c r="A601" s="165"/>
      <c r="C601" s="166"/>
      <c r="D601" s="166"/>
      <c r="E601" s="166"/>
    </row>
    <row r="602">
      <c r="A602" s="165"/>
      <c r="C602" s="166"/>
      <c r="D602" s="166"/>
      <c r="E602" s="166"/>
    </row>
    <row r="603">
      <c r="A603" s="165"/>
      <c r="C603" s="166"/>
      <c r="D603" s="166"/>
      <c r="E603" s="166"/>
    </row>
    <row r="604">
      <c r="A604" s="165"/>
      <c r="C604" s="166"/>
      <c r="D604" s="166"/>
      <c r="E604" s="166"/>
    </row>
    <row r="605">
      <c r="A605" s="165"/>
      <c r="C605" s="166"/>
      <c r="D605" s="166"/>
      <c r="E605" s="166"/>
    </row>
    <row r="606">
      <c r="A606" s="165"/>
      <c r="C606" s="166"/>
      <c r="D606" s="166"/>
      <c r="E606" s="166"/>
    </row>
    <row r="607">
      <c r="A607" s="165"/>
      <c r="C607" s="166"/>
      <c r="D607" s="166"/>
      <c r="E607" s="166"/>
    </row>
    <row r="608">
      <c r="A608" s="165"/>
      <c r="C608" s="166"/>
      <c r="D608" s="166"/>
      <c r="E608" s="166"/>
    </row>
    <row r="609">
      <c r="A609" s="165"/>
      <c r="C609" s="166"/>
      <c r="D609" s="166"/>
      <c r="E609" s="166"/>
    </row>
    <row r="610">
      <c r="A610" s="165"/>
      <c r="C610" s="166"/>
      <c r="D610" s="166"/>
      <c r="E610" s="166"/>
    </row>
    <row r="611">
      <c r="A611" s="165"/>
      <c r="C611" s="166"/>
      <c r="D611" s="166"/>
      <c r="E611" s="166"/>
    </row>
    <row r="612">
      <c r="A612" s="165"/>
      <c r="C612" s="166"/>
      <c r="D612" s="166"/>
      <c r="E612" s="166"/>
    </row>
    <row r="613">
      <c r="A613" s="165"/>
      <c r="C613" s="166"/>
      <c r="D613" s="166"/>
      <c r="E613" s="166"/>
    </row>
    <row r="614">
      <c r="A614" s="165"/>
      <c r="C614" s="166"/>
      <c r="D614" s="166"/>
      <c r="E614" s="166"/>
    </row>
    <row r="615">
      <c r="A615" s="165"/>
      <c r="C615" s="166"/>
      <c r="D615" s="166"/>
      <c r="E615" s="166"/>
    </row>
    <row r="616">
      <c r="A616" s="165"/>
      <c r="C616" s="166"/>
      <c r="D616" s="166"/>
      <c r="E616" s="166"/>
    </row>
    <row r="617">
      <c r="A617" s="165"/>
      <c r="C617" s="166"/>
      <c r="D617" s="166"/>
      <c r="E617" s="166"/>
    </row>
    <row r="618">
      <c r="A618" s="165"/>
      <c r="C618" s="166"/>
      <c r="D618" s="166"/>
      <c r="E618" s="166"/>
    </row>
    <row r="619">
      <c r="A619" s="165"/>
      <c r="C619" s="166"/>
      <c r="D619" s="166"/>
      <c r="E619" s="166"/>
    </row>
    <row r="620">
      <c r="A620" s="165"/>
      <c r="C620" s="166"/>
      <c r="D620" s="166"/>
      <c r="E620" s="166"/>
    </row>
    <row r="621">
      <c r="A621" s="165"/>
      <c r="C621" s="166"/>
      <c r="D621" s="166"/>
      <c r="E621" s="166"/>
    </row>
    <row r="622">
      <c r="A622" s="165"/>
      <c r="C622" s="166"/>
      <c r="D622" s="166"/>
      <c r="E622" s="166"/>
    </row>
    <row r="623">
      <c r="A623" s="165"/>
      <c r="C623" s="166"/>
      <c r="D623" s="166"/>
      <c r="E623" s="166"/>
    </row>
    <row r="624">
      <c r="A624" s="165"/>
      <c r="C624" s="166"/>
      <c r="D624" s="166"/>
      <c r="E624" s="166"/>
    </row>
    <row r="625">
      <c r="A625" s="165"/>
      <c r="C625" s="166"/>
      <c r="D625" s="166"/>
      <c r="E625" s="166"/>
    </row>
    <row r="626">
      <c r="A626" s="165"/>
      <c r="C626" s="166"/>
      <c r="D626" s="166"/>
      <c r="E626" s="166"/>
    </row>
    <row r="627">
      <c r="A627" s="165"/>
      <c r="C627" s="166"/>
      <c r="D627" s="166"/>
      <c r="E627" s="166"/>
    </row>
    <row r="628">
      <c r="A628" s="165"/>
      <c r="C628" s="166"/>
      <c r="D628" s="166"/>
      <c r="E628" s="166"/>
    </row>
    <row r="629">
      <c r="A629" s="165"/>
      <c r="C629" s="166"/>
      <c r="D629" s="166"/>
      <c r="E629" s="166"/>
    </row>
    <row r="630">
      <c r="A630" s="165"/>
      <c r="C630" s="166"/>
      <c r="D630" s="166"/>
      <c r="E630" s="166"/>
    </row>
    <row r="631">
      <c r="A631" s="165"/>
      <c r="C631" s="166"/>
      <c r="D631" s="166"/>
      <c r="E631" s="166"/>
    </row>
    <row r="632">
      <c r="A632" s="165"/>
      <c r="C632" s="166"/>
      <c r="D632" s="166"/>
      <c r="E632" s="166"/>
    </row>
    <row r="633">
      <c r="A633" s="165"/>
      <c r="C633" s="166"/>
      <c r="D633" s="166"/>
      <c r="E633" s="166"/>
    </row>
    <row r="634">
      <c r="A634" s="165"/>
      <c r="C634" s="166"/>
      <c r="D634" s="166"/>
      <c r="E634" s="166"/>
    </row>
    <row r="635">
      <c r="A635" s="165"/>
      <c r="C635" s="166"/>
      <c r="D635" s="166"/>
      <c r="E635" s="166"/>
    </row>
    <row r="636">
      <c r="A636" s="165"/>
      <c r="C636" s="166"/>
      <c r="D636" s="166"/>
      <c r="E636" s="166"/>
    </row>
    <row r="637">
      <c r="A637" s="165"/>
      <c r="C637" s="166"/>
      <c r="D637" s="166"/>
      <c r="E637" s="166"/>
    </row>
    <row r="638">
      <c r="A638" s="165"/>
      <c r="C638" s="166"/>
      <c r="D638" s="166"/>
      <c r="E638" s="166"/>
    </row>
    <row r="639">
      <c r="A639" s="165"/>
      <c r="C639" s="166"/>
      <c r="D639" s="166"/>
      <c r="E639" s="166"/>
    </row>
    <row r="640">
      <c r="A640" s="165"/>
      <c r="C640" s="166"/>
      <c r="D640" s="166"/>
      <c r="E640" s="166"/>
    </row>
    <row r="641">
      <c r="A641" s="165"/>
      <c r="C641" s="166"/>
      <c r="D641" s="166"/>
      <c r="E641" s="166"/>
    </row>
    <row r="642">
      <c r="A642" s="165"/>
      <c r="C642" s="166"/>
      <c r="D642" s="166"/>
      <c r="E642" s="166"/>
    </row>
    <row r="643">
      <c r="A643" s="165"/>
      <c r="C643" s="166"/>
      <c r="D643" s="166"/>
      <c r="E643" s="166"/>
    </row>
    <row r="644">
      <c r="A644" s="165"/>
      <c r="C644" s="166"/>
      <c r="D644" s="166"/>
      <c r="E644" s="166"/>
    </row>
    <row r="645">
      <c r="A645" s="165"/>
      <c r="C645" s="166"/>
      <c r="D645" s="166"/>
      <c r="E645" s="166"/>
    </row>
    <row r="646">
      <c r="A646" s="165"/>
      <c r="C646" s="166"/>
      <c r="D646" s="166"/>
      <c r="E646" s="166"/>
    </row>
    <row r="647">
      <c r="A647" s="165"/>
      <c r="C647" s="166"/>
      <c r="D647" s="166"/>
      <c r="E647" s="166"/>
    </row>
    <row r="648">
      <c r="A648" s="165"/>
      <c r="C648" s="166"/>
      <c r="D648" s="166"/>
      <c r="E648" s="166"/>
    </row>
    <row r="649">
      <c r="A649" s="165"/>
      <c r="C649" s="166"/>
      <c r="D649" s="166"/>
      <c r="E649" s="166"/>
    </row>
    <row r="650">
      <c r="A650" s="165"/>
      <c r="C650" s="166"/>
      <c r="D650" s="166"/>
      <c r="E650" s="166"/>
    </row>
    <row r="651">
      <c r="A651" s="165"/>
      <c r="C651" s="166"/>
      <c r="D651" s="166"/>
      <c r="E651" s="166"/>
    </row>
    <row r="652">
      <c r="A652" s="165"/>
      <c r="C652" s="166"/>
      <c r="D652" s="166"/>
      <c r="E652" s="166"/>
    </row>
    <row r="653">
      <c r="A653" s="165"/>
      <c r="C653" s="166"/>
      <c r="D653" s="166"/>
      <c r="E653" s="166"/>
    </row>
    <row r="654">
      <c r="A654" s="165"/>
      <c r="C654" s="166"/>
      <c r="D654" s="166"/>
      <c r="E654" s="166"/>
    </row>
    <row r="655">
      <c r="A655" s="165"/>
      <c r="C655" s="166"/>
      <c r="D655" s="166"/>
      <c r="E655" s="166"/>
    </row>
    <row r="656">
      <c r="A656" s="165"/>
      <c r="C656" s="166"/>
      <c r="D656" s="166"/>
      <c r="E656" s="166"/>
    </row>
    <row r="657">
      <c r="A657" s="165"/>
      <c r="C657" s="166"/>
      <c r="D657" s="166"/>
      <c r="E657" s="166"/>
    </row>
    <row r="658">
      <c r="A658" s="165"/>
      <c r="C658" s="166"/>
      <c r="D658" s="166"/>
      <c r="E658" s="166"/>
    </row>
    <row r="659">
      <c r="A659" s="165"/>
      <c r="C659" s="166"/>
      <c r="D659" s="166"/>
      <c r="E659" s="166"/>
    </row>
    <row r="660">
      <c r="A660" s="165"/>
      <c r="C660" s="166"/>
      <c r="D660" s="166"/>
      <c r="E660" s="166"/>
    </row>
    <row r="661">
      <c r="A661" s="165"/>
      <c r="C661" s="166"/>
      <c r="D661" s="166"/>
      <c r="E661" s="166"/>
    </row>
    <row r="662">
      <c r="A662" s="165"/>
      <c r="C662" s="166"/>
      <c r="D662" s="166"/>
      <c r="E662" s="166"/>
    </row>
    <row r="663">
      <c r="A663" s="165"/>
      <c r="C663" s="166"/>
      <c r="D663" s="166"/>
      <c r="E663" s="166"/>
    </row>
    <row r="664">
      <c r="A664" s="165"/>
      <c r="C664" s="166"/>
      <c r="D664" s="166"/>
      <c r="E664" s="166"/>
    </row>
    <row r="665">
      <c r="A665" s="165"/>
      <c r="C665" s="166"/>
      <c r="D665" s="166"/>
      <c r="E665" s="166"/>
    </row>
    <row r="666">
      <c r="A666" s="165"/>
      <c r="C666" s="166"/>
      <c r="D666" s="166"/>
      <c r="E666" s="166"/>
    </row>
    <row r="667">
      <c r="A667" s="165"/>
      <c r="C667" s="166"/>
      <c r="D667" s="166"/>
      <c r="E667" s="166"/>
    </row>
    <row r="668">
      <c r="A668" s="165"/>
      <c r="C668" s="166"/>
      <c r="D668" s="166"/>
      <c r="E668" s="166"/>
    </row>
    <row r="669">
      <c r="A669" s="165"/>
      <c r="C669" s="166"/>
      <c r="D669" s="166"/>
      <c r="E669" s="166"/>
    </row>
    <row r="670">
      <c r="A670" s="165"/>
      <c r="C670" s="166"/>
      <c r="D670" s="166"/>
      <c r="E670" s="166"/>
    </row>
    <row r="671">
      <c r="A671" s="165"/>
      <c r="C671" s="166"/>
      <c r="D671" s="166"/>
      <c r="E671" s="166"/>
    </row>
    <row r="672">
      <c r="A672" s="165"/>
      <c r="C672" s="166"/>
      <c r="D672" s="166"/>
      <c r="E672" s="166"/>
    </row>
    <row r="673">
      <c r="A673" s="165"/>
      <c r="C673" s="166"/>
      <c r="D673" s="166"/>
      <c r="E673" s="166"/>
    </row>
    <row r="674">
      <c r="A674" s="165"/>
      <c r="C674" s="166"/>
      <c r="D674" s="166"/>
      <c r="E674" s="166"/>
    </row>
    <row r="675">
      <c r="A675" s="165"/>
      <c r="C675" s="166"/>
      <c r="D675" s="166"/>
      <c r="E675" s="166"/>
    </row>
    <row r="676">
      <c r="A676" s="165"/>
      <c r="C676" s="166"/>
      <c r="D676" s="166"/>
      <c r="E676" s="166"/>
    </row>
    <row r="677">
      <c r="A677" s="165"/>
      <c r="C677" s="166"/>
      <c r="D677" s="166"/>
      <c r="E677" s="166"/>
    </row>
    <row r="678">
      <c r="A678" s="165"/>
      <c r="C678" s="166"/>
      <c r="D678" s="166"/>
      <c r="E678" s="166"/>
    </row>
    <row r="679">
      <c r="A679" s="165"/>
      <c r="C679" s="166"/>
      <c r="D679" s="166"/>
      <c r="E679" s="166"/>
    </row>
    <row r="680">
      <c r="A680" s="165"/>
      <c r="C680" s="166"/>
      <c r="D680" s="166"/>
      <c r="E680" s="166"/>
    </row>
    <row r="681">
      <c r="A681" s="165"/>
      <c r="C681" s="166"/>
      <c r="D681" s="166"/>
      <c r="E681" s="166"/>
    </row>
    <row r="682">
      <c r="A682" s="165"/>
      <c r="C682" s="166"/>
      <c r="D682" s="166"/>
      <c r="E682" s="166"/>
    </row>
    <row r="683">
      <c r="A683" s="165"/>
      <c r="C683" s="166"/>
      <c r="D683" s="166"/>
      <c r="E683" s="166"/>
    </row>
    <row r="684">
      <c r="A684" s="165"/>
      <c r="C684" s="166"/>
      <c r="D684" s="166"/>
      <c r="E684" s="166"/>
    </row>
    <row r="685">
      <c r="A685" s="165"/>
      <c r="C685" s="166"/>
      <c r="D685" s="166"/>
      <c r="E685" s="166"/>
    </row>
    <row r="686">
      <c r="A686" s="165"/>
      <c r="C686" s="166"/>
      <c r="D686" s="166"/>
      <c r="E686" s="166"/>
    </row>
    <row r="687">
      <c r="A687" s="165"/>
      <c r="C687" s="166"/>
      <c r="D687" s="166"/>
      <c r="E687" s="166"/>
    </row>
    <row r="688">
      <c r="A688" s="165"/>
      <c r="C688" s="166"/>
      <c r="D688" s="166"/>
      <c r="E688" s="166"/>
    </row>
    <row r="689">
      <c r="A689" s="165"/>
      <c r="C689" s="166"/>
      <c r="D689" s="166"/>
      <c r="E689" s="166"/>
    </row>
    <row r="690">
      <c r="A690" s="165"/>
      <c r="C690" s="166"/>
      <c r="D690" s="166"/>
      <c r="E690" s="166"/>
    </row>
    <row r="691">
      <c r="A691" s="165"/>
      <c r="C691" s="166"/>
      <c r="D691" s="166"/>
      <c r="E691" s="166"/>
    </row>
    <row r="692">
      <c r="A692" s="165"/>
      <c r="C692" s="166"/>
      <c r="D692" s="166"/>
      <c r="E692" s="166"/>
    </row>
    <row r="693">
      <c r="A693" s="165"/>
      <c r="C693" s="166"/>
      <c r="D693" s="166"/>
      <c r="E693" s="166"/>
    </row>
    <row r="694">
      <c r="A694" s="165"/>
      <c r="C694" s="166"/>
      <c r="D694" s="166"/>
      <c r="E694" s="166"/>
    </row>
    <row r="695">
      <c r="A695" s="165"/>
      <c r="C695" s="166"/>
      <c r="D695" s="166"/>
      <c r="E695" s="166"/>
    </row>
    <row r="696">
      <c r="A696" s="165"/>
      <c r="C696" s="166"/>
      <c r="D696" s="166"/>
      <c r="E696" s="166"/>
    </row>
    <row r="697">
      <c r="A697" s="165"/>
      <c r="C697" s="166"/>
      <c r="D697" s="166"/>
      <c r="E697" s="166"/>
    </row>
    <row r="698">
      <c r="A698" s="165"/>
      <c r="C698" s="166"/>
      <c r="D698" s="166"/>
      <c r="E698" s="166"/>
    </row>
    <row r="699">
      <c r="A699" s="165"/>
      <c r="C699" s="166"/>
      <c r="D699" s="166"/>
      <c r="E699" s="166"/>
    </row>
    <row r="700">
      <c r="A700" s="165"/>
      <c r="C700" s="166"/>
      <c r="D700" s="166"/>
      <c r="E700" s="166"/>
    </row>
    <row r="701">
      <c r="A701" s="165"/>
      <c r="C701" s="166"/>
      <c r="D701" s="166"/>
      <c r="E701" s="166"/>
    </row>
    <row r="702">
      <c r="A702" s="165"/>
      <c r="C702" s="166"/>
      <c r="D702" s="166"/>
      <c r="E702" s="166"/>
    </row>
    <row r="703">
      <c r="A703" s="165"/>
      <c r="C703" s="166"/>
      <c r="D703" s="166"/>
      <c r="E703" s="166"/>
    </row>
    <row r="704">
      <c r="A704" s="165"/>
      <c r="C704" s="166"/>
      <c r="D704" s="166"/>
      <c r="E704" s="166"/>
    </row>
    <row r="705">
      <c r="A705" s="165"/>
      <c r="C705" s="166"/>
      <c r="D705" s="166"/>
      <c r="E705" s="166"/>
    </row>
    <row r="706">
      <c r="A706" s="165"/>
      <c r="C706" s="166"/>
      <c r="D706" s="166"/>
      <c r="E706" s="166"/>
    </row>
    <row r="707">
      <c r="A707" s="165"/>
      <c r="C707" s="166"/>
      <c r="D707" s="166"/>
      <c r="E707" s="166"/>
    </row>
    <row r="708">
      <c r="A708" s="165"/>
      <c r="C708" s="166"/>
      <c r="D708" s="166"/>
      <c r="E708" s="166"/>
    </row>
    <row r="709">
      <c r="A709" s="165"/>
      <c r="C709" s="166"/>
      <c r="D709" s="166"/>
      <c r="E709" s="166"/>
    </row>
    <row r="710">
      <c r="A710" s="165"/>
      <c r="C710" s="166"/>
      <c r="D710" s="166"/>
      <c r="E710" s="166"/>
    </row>
    <row r="711">
      <c r="A711" s="165"/>
      <c r="C711" s="166"/>
      <c r="D711" s="166"/>
      <c r="E711" s="166"/>
    </row>
    <row r="712">
      <c r="A712" s="165"/>
      <c r="C712" s="166"/>
      <c r="D712" s="166"/>
      <c r="E712" s="166"/>
    </row>
    <row r="713">
      <c r="A713" s="165"/>
      <c r="C713" s="166"/>
      <c r="D713" s="166"/>
      <c r="E713" s="166"/>
    </row>
    <row r="714">
      <c r="A714" s="165"/>
      <c r="C714" s="166"/>
      <c r="D714" s="166"/>
      <c r="E714" s="166"/>
    </row>
    <row r="715">
      <c r="A715" s="165"/>
      <c r="C715" s="166"/>
      <c r="D715" s="166"/>
      <c r="E715" s="166"/>
    </row>
    <row r="716">
      <c r="A716" s="165"/>
      <c r="C716" s="166"/>
      <c r="D716" s="166"/>
      <c r="E716" s="166"/>
    </row>
    <row r="717">
      <c r="A717" s="165"/>
      <c r="C717" s="166"/>
      <c r="D717" s="166"/>
      <c r="E717" s="166"/>
    </row>
    <row r="718">
      <c r="A718" s="165"/>
      <c r="C718" s="166"/>
      <c r="D718" s="166"/>
      <c r="E718" s="166"/>
    </row>
    <row r="719">
      <c r="A719" s="165"/>
      <c r="C719" s="166"/>
      <c r="D719" s="166"/>
      <c r="E719" s="166"/>
    </row>
    <row r="720">
      <c r="A720" s="165"/>
      <c r="C720" s="166"/>
      <c r="D720" s="166"/>
      <c r="E720" s="166"/>
    </row>
    <row r="721">
      <c r="A721" s="165"/>
      <c r="C721" s="166"/>
      <c r="D721" s="166"/>
      <c r="E721" s="166"/>
    </row>
    <row r="722">
      <c r="A722" s="165"/>
      <c r="C722" s="166"/>
      <c r="D722" s="166"/>
      <c r="E722" s="166"/>
    </row>
    <row r="723">
      <c r="A723" s="165"/>
      <c r="C723" s="166"/>
      <c r="D723" s="166"/>
      <c r="E723" s="166"/>
    </row>
    <row r="724">
      <c r="A724" s="165"/>
      <c r="C724" s="166"/>
      <c r="D724" s="166"/>
      <c r="E724" s="166"/>
    </row>
    <row r="725">
      <c r="A725" s="165"/>
      <c r="C725" s="166"/>
      <c r="D725" s="166"/>
      <c r="E725" s="166"/>
    </row>
    <row r="726">
      <c r="A726" s="165"/>
      <c r="C726" s="166"/>
      <c r="D726" s="166"/>
      <c r="E726" s="166"/>
    </row>
    <row r="727">
      <c r="A727" s="165"/>
      <c r="C727" s="166"/>
      <c r="D727" s="166"/>
      <c r="E727" s="166"/>
    </row>
    <row r="728">
      <c r="A728" s="165"/>
      <c r="C728" s="166"/>
      <c r="D728" s="166"/>
      <c r="E728" s="166"/>
    </row>
    <row r="729">
      <c r="A729" s="165"/>
      <c r="C729" s="166"/>
      <c r="D729" s="166"/>
      <c r="E729" s="166"/>
    </row>
    <row r="730">
      <c r="A730" s="165"/>
      <c r="C730" s="166"/>
      <c r="D730" s="166"/>
      <c r="E730" s="166"/>
    </row>
    <row r="731">
      <c r="A731" s="165"/>
      <c r="C731" s="166"/>
      <c r="D731" s="166"/>
      <c r="E731" s="166"/>
    </row>
    <row r="732">
      <c r="A732" s="165"/>
      <c r="C732" s="166"/>
      <c r="D732" s="166"/>
      <c r="E732" s="166"/>
    </row>
    <row r="733">
      <c r="A733" s="165"/>
      <c r="C733" s="166"/>
      <c r="D733" s="166"/>
      <c r="E733" s="166"/>
    </row>
    <row r="734">
      <c r="A734" s="165"/>
      <c r="C734" s="166"/>
      <c r="D734" s="166"/>
      <c r="E734" s="166"/>
    </row>
    <row r="735">
      <c r="A735" s="165"/>
      <c r="C735" s="166"/>
      <c r="D735" s="166"/>
      <c r="E735" s="166"/>
    </row>
    <row r="736">
      <c r="A736" s="165"/>
      <c r="C736" s="166"/>
      <c r="D736" s="166"/>
      <c r="E736" s="166"/>
    </row>
    <row r="737">
      <c r="A737" s="165"/>
      <c r="C737" s="166"/>
      <c r="D737" s="166"/>
      <c r="E737" s="166"/>
    </row>
    <row r="738">
      <c r="A738" s="165"/>
      <c r="C738" s="166"/>
      <c r="D738" s="166"/>
      <c r="E738" s="166"/>
    </row>
    <row r="739">
      <c r="A739" s="165"/>
      <c r="C739" s="166"/>
      <c r="D739" s="166"/>
      <c r="E739" s="166"/>
    </row>
    <row r="740">
      <c r="A740" s="165"/>
      <c r="C740" s="166"/>
      <c r="D740" s="166"/>
      <c r="E740" s="166"/>
    </row>
    <row r="741">
      <c r="A741" s="165"/>
      <c r="C741" s="166"/>
      <c r="D741" s="166"/>
      <c r="E741" s="166"/>
    </row>
    <row r="742">
      <c r="A742" s="165"/>
      <c r="C742" s="166"/>
      <c r="D742" s="166"/>
      <c r="E742" s="166"/>
    </row>
    <row r="743">
      <c r="A743" s="165"/>
      <c r="C743" s="166"/>
      <c r="D743" s="166"/>
      <c r="E743" s="166"/>
    </row>
    <row r="744">
      <c r="A744" s="165"/>
      <c r="C744" s="166"/>
      <c r="D744" s="166"/>
      <c r="E744" s="166"/>
    </row>
    <row r="745">
      <c r="A745" s="165"/>
      <c r="C745" s="166"/>
      <c r="D745" s="166"/>
      <c r="E745" s="166"/>
    </row>
    <row r="746">
      <c r="A746" s="165"/>
      <c r="C746" s="166"/>
      <c r="D746" s="166"/>
      <c r="E746" s="166"/>
    </row>
    <row r="747">
      <c r="A747" s="165"/>
      <c r="C747" s="166"/>
      <c r="D747" s="166"/>
      <c r="E747" s="166"/>
    </row>
    <row r="748">
      <c r="A748" s="165"/>
      <c r="C748" s="166"/>
      <c r="D748" s="166"/>
      <c r="E748" s="166"/>
    </row>
    <row r="749">
      <c r="A749" s="165"/>
      <c r="C749" s="166"/>
      <c r="D749" s="166"/>
      <c r="E749" s="166"/>
    </row>
    <row r="750">
      <c r="A750" s="165"/>
      <c r="C750" s="166"/>
      <c r="D750" s="166"/>
      <c r="E750" s="166"/>
    </row>
    <row r="751">
      <c r="A751" s="165"/>
      <c r="C751" s="166"/>
      <c r="D751" s="166"/>
      <c r="E751" s="166"/>
    </row>
    <row r="752">
      <c r="A752" s="165"/>
      <c r="C752" s="166"/>
      <c r="D752" s="166"/>
      <c r="E752" s="166"/>
    </row>
    <row r="753">
      <c r="A753" s="165"/>
      <c r="C753" s="166"/>
      <c r="D753" s="166"/>
      <c r="E753" s="166"/>
    </row>
    <row r="754">
      <c r="A754" s="165"/>
      <c r="C754" s="166"/>
      <c r="D754" s="166"/>
      <c r="E754" s="166"/>
    </row>
    <row r="755">
      <c r="A755" s="165"/>
      <c r="C755" s="166"/>
      <c r="D755" s="166"/>
      <c r="E755" s="166"/>
    </row>
    <row r="756">
      <c r="A756" s="165"/>
      <c r="C756" s="166"/>
      <c r="D756" s="166"/>
      <c r="E756" s="166"/>
    </row>
    <row r="757">
      <c r="A757" s="165"/>
      <c r="C757" s="166"/>
      <c r="D757" s="166"/>
      <c r="E757" s="166"/>
    </row>
    <row r="758">
      <c r="A758" s="165"/>
      <c r="C758" s="166"/>
      <c r="D758" s="166"/>
      <c r="E758" s="166"/>
    </row>
    <row r="759">
      <c r="A759" s="165"/>
      <c r="C759" s="166"/>
      <c r="D759" s="166"/>
      <c r="E759" s="166"/>
    </row>
    <row r="760">
      <c r="A760" s="165"/>
      <c r="C760" s="166"/>
      <c r="D760" s="166"/>
      <c r="E760" s="166"/>
    </row>
    <row r="761">
      <c r="A761" s="165"/>
      <c r="C761" s="166"/>
      <c r="D761" s="166"/>
      <c r="E761" s="166"/>
    </row>
    <row r="762">
      <c r="A762" s="165"/>
      <c r="C762" s="166"/>
      <c r="D762" s="166"/>
      <c r="E762" s="166"/>
    </row>
    <row r="763">
      <c r="A763" s="165"/>
      <c r="C763" s="166"/>
      <c r="D763" s="166"/>
      <c r="E763" s="166"/>
    </row>
    <row r="764">
      <c r="A764" s="165"/>
      <c r="C764" s="166"/>
      <c r="D764" s="166"/>
      <c r="E764" s="166"/>
    </row>
    <row r="765">
      <c r="A765" s="165"/>
      <c r="C765" s="166"/>
      <c r="D765" s="166"/>
      <c r="E765" s="166"/>
    </row>
    <row r="766">
      <c r="A766" s="165"/>
      <c r="C766" s="166"/>
      <c r="D766" s="166"/>
      <c r="E766" s="166"/>
    </row>
    <row r="767">
      <c r="A767" s="165"/>
      <c r="C767" s="166"/>
      <c r="D767" s="166"/>
      <c r="E767" s="166"/>
    </row>
    <row r="768">
      <c r="A768" s="165"/>
      <c r="C768" s="166"/>
      <c r="D768" s="166"/>
      <c r="E768" s="166"/>
    </row>
    <row r="769">
      <c r="A769" s="165"/>
      <c r="C769" s="166"/>
      <c r="D769" s="166"/>
      <c r="E769" s="166"/>
    </row>
    <row r="770">
      <c r="A770" s="165"/>
      <c r="C770" s="166"/>
      <c r="D770" s="166"/>
      <c r="E770" s="166"/>
    </row>
    <row r="771">
      <c r="A771" s="165"/>
      <c r="C771" s="166"/>
      <c r="D771" s="166"/>
      <c r="E771" s="166"/>
    </row>
    <row r="772">
      <c r="A772" s="165"/>
      <c r="C772" s="166"/>
      <c r="D772" s="166"/>
      <c r="E772" s="166"/>
    </row>
    <row r="773">
      <c r="A773" s="165"/>
      <c r="C773" s="166"/>
      <c r="D773" s="166"/>
      <c r="E773" s="166"/>
    </row>
    <row r="774">
      <c r="A774" s="165"/>
      <c r="C774" s="166"/>
      <c r="D774" s="166"/>
      <c r="E774" s="166"/>
    </row>
    <row r="775">
      <c r="A775" s="165"/>
      <c r="C775" s="166"/>
      <c r="D775" s="166"/>
      <c r="E775" s="166"/>
    </row>
    <row r="776">
      <c r="A776" s="165"/>
      <c r="C776" s="166"/>
      <c r="D776" s="166"/>
      <c r="E776" s="166"/>
    </row>
    <row r="777">
      <c r="A777" s="165"/>
      <c r="C777" s="166"/>
      <c r="D777" s="166"/>
      <c r="E777" s="166"/>
    </row>
    <row r="778">
      <c r="A778" s="165"/>
      <c r="C778" s="166"/>
      <c r="D778" s="166"/>
      <c r="E778" s="166"/>
    </row>
    <row r="779">
      <c r="A779" s="165"/>
      <c r="C779" s="166"/>
      <c r="D779" s="166"/>
      <c r="E779" s="166"/>
    </row>
    <row r="780">
      <c r="A780" s="165"/>
      <c r="C780" s="166"/>
      <c r="D780" s="166"/>
      <c r="E780" s="166"/>
    </row>
    <row r="781">
      <c r="A781" s="165"/>
      <c r="C781" s="166"/>
      <c r="D781" s="166"/>
      <c r="E781" s="166"/>
    </row>
    <row r="782">
      <c r="A782" s="165"/>
      <c r="C782" s="166"/>
      <c r="D782" s="166"/>
      <c r="E782" s="166"/>
    </row>
    <row r="783">
      <c r="A783" s="165"/>
      <c r="C783" s="166"/>
      <c r="D783" s="166"/>
      <c r="E783" s="166"/>
    </row>
    <row r="784">
      <c r="A784" s="165"/>
      <c r="C784" s="166"/>
      <c r="D784" s="166"/>
      <c r="E784" s="166"/>
    </row>
    <row r="785">
      <c r="A785" s="165"/>
      <c r="C785" s="166"/>
      <c r="D785" s="166"/>
      <c r="E785" s="166"/>
    </row>
    <row r="786">
      <c r="A786" s="165"/>
      <c r="C786" s="166"/>
      <c r="D786" s="166"/>
      <c r="E786" s="166"/>
    </row>
    <row r="787">
      <c r="A787" s="165"/>
      <c r="C787" s="166"/>
      <c r="D787" s="166"/>
      <c r="E787" s="166"/>
    </row>
    <row r="788">
      <c r="A788" s="165"/>
      <c r="C788" s="166"/>
      <c r="D788" s="166"/>
      <c r="E788" s="166"/>
    </row>
    <row r="789">
      <c r="A789" s="165"/>
      <c r="C789" s="166"/>
      <c r="D789" s="166"/>
      <c r="E789" s="166"/>
    </row>
    <row r="790">
      <c r="A790" s="165"/>
      <c r="C790" s="166"/>
      <c r="D790" s="166"/>
      <c r="E790" s="166"/>
    </row>
    <row r="791">
      <c r="A791" s="165"/>
      <c r="C791" s="166"/>
      <c r="D791" s="166"/>
      <c r="E791" s="166"/>
    </row>
    <row r="792">
      <c r="A792" s="165"/>
      <c r="C792" s="166"/>
      <c r="D792" s="166"/>
      <c r="E792" s="166"/>
    </row>
    <row r="793">
      <c r="A793" s="165"/>
      <c r="C793" s="166"/>
      <c r="D793" s="166"/>
      <c r="E793" s="166"/>
    </row>
    <row r="794">
      <c r="A794" s="165"/>
      <c r="C794" s="166"/>
      <c r="D794" s="166"/>
      <c r="E794" s="166"/>
    </row>
    <row r="795">
      <c r="A795" s="165"/>
      <c r="C795" s="166"/>
      <c r="D795" s="166"/>
      <c r="E795" s="166"/>
    </row>
    <row r="796">
      <c r="A796" s="165"/>
      <c r="C796" s="166"/>
      <c r="D796" s="166"/>
      <c r="E796" s="166"/>
    </row>
    <row r="797">
      <c r="A797" s="165"/>
      <c r="C797" s="166"/>
      <c r="D797" s="166"/>
      <c r="E797" s="166"/>
    </row>
    <row r="798">
      <c r="A798" s="165"/>
      <c r="C798" s="166"/>
      <c r="D798" s="166"/>
      <c r="E798" s="166"/>
    </row>
    <row r="799">
      <c r="A799" s="165"/>
      <c r="C799" s="166"/>
      <c r="D799" s="166"/>
      <c r="E799" s="166"/>
    </row>
    <row r="800">
      <c r="A800" s="165"/>
      <c r="C800" s="166"/>
      <c r="D800" s="166"/>
      <c r="E800" s="166"/>
    </row>
    <row r="801">
      <c r="A801" s="165"/>
      <c r="C801" s="166"/>
      <c r="D801" s="166"/>
      <c r="E801" s="166"/>
    </row>
    <row r="802">
      <c r="A802" s="165"/>
      <c r="C802" s="166"/>
      <c r="D802" s="166"/>
      <c r="E802" s="166"/>
    </row>
    <row r="803">
      <c r="A803" s="165"/>
      <c r="C803" s="166"/>
      <c r="D803" s="166"/>
      <c r="E803" s="166"/>
    </row>
    <row r="804">
      <c r="A804" s="165"/>
      <c r="C804" s="166"/>
      <c r="D804" s="166"/>
      <c r="E804" s="166"/>
    </row>
    <row r="805">
      <c r="A805" s="165"/>
      <c r="C805" s="166"/>
      <c r="D805" s="166"/>
      <c r="E805" s="166"/>
    </row>
    <row r="806">
      <c r="A806" s="165"/>
      <c r="C806" s="166"/>
      <c r="D806" s="166"/>
      <c r="E806" s="166"/>
    </row>
    <row r="807">
      <c r="A807" s="165"/>
      <c r="C807" s="166"/>
      <c r="D807" s="166"/>
      <c r="E807" s="166"/>
    </row>
    <row r="808">
      <c r="A808" s="165"/>
      <c r="C808" s="166"/>
      <c r="D808" s="166"/>
      <c r="E808" s="166"/>
    </row>
    <row r="809">
      <c r="A809" s="165"/>
      <c r="C809" s="166"/>
      <c r="D809" s="166"/>
      <c r="E809" s="166"/>
    </row>
    <row r="810">
      <c r="A810" s="165"/>
      <c r="C810" s="166"/>
      <c r="D810" s="166"/>
      <c r="E810" s="166"/>
    </row>
    <row r="811">
      <c r="A811" s="165"/>
      <c r="C811" s="166"/>
      <c r="D811" s="166"/>
      <c r="E811" s="166"/>
    </row>
    <row r="812">
      <c r="A812" s="165"/>
      <c r="C812" s="166"/>
      <c r="D812" s="166"/>
      <c r="E812" s="166"/>
    </row>
    <row r="813">
      <c r="A813" s="165"/>
      <c r="C813" s="166"/>
      <c r="D813" s="166"/>
      <c r="E813" s="166"/>
    </row>
    <row r="814">
      <c r="A814" s="165"/>
      <c r="C814" s="166"/>
      <c r="D814" s="166"/>
      <c r="E814" s="166"/>
    </row>
    <row r="815">
      <c r="A815" s="165"/>
      <c r="C815" s="166"/>
      <c r="D815" s="166"/>
      <c r="E815" s="166"/>
    </row>
    <row r="816">
      <c r="A816" s="165"/>
      <c r="C816" s="166"/>
      <c r="D816" s="166"/>
      <c r="E816" s="166"/>
    </row>
    <row r="817">
      <c r="A817" s="165"/>
      <c r="C817" s="166"/>
      <c r="D817" s="166"/>
      <c r="E817" s="166"/>
    </row>
    <row r="818">
      <c r="A818" s="165"/>
      <c r="C818" s="166"/>
      <c r="D818" s="166"/>
      <c r="E818" s="166"/>
    </row>
    <row r="819">
      <c r="A819" s="165"/>
      <c r="C819" s="166"/>
      <c r="D819" s="166"/>
      <c r="E819" s="166"/>
    </row>
    <row r="820">
      <c r="A820" s="165"/>
      <c r="C820" s="166"/>
      <c r="D820" s="166"/>
      <c r="E820" s="166"/>
    </row>
    <row r="821">
      <c r="A821" s="165"/>
      <c r="C821" s="166"/>
      <c r="D821" s="166"/>
      <c r="E821" s="166"/>
    </row>
    <row r="822">
      <c r="A822" s="165"/>
      <c r="C822" s="166"/>
      <c r="D822" s="166"/>
      <c r="E822" s="166"/>
    </row>
    <row r="823">
      <c r="A823" s="165"/>
      <c r="C823" s="166"/>
      <c r="D823" s="166"/>
      <c r="E823" s="166"/>
    </row>
    <row r="824">
      <c r="A824" s="165"/>
      <c r="C824" s="166"/>
      <c r="D824" s="166"/>
      <c r="E824" s="166"/>
    </row>
    <row r="825">
      <c r="A825" s="165"/>
      <c r="C825" s="166"/>
      <c r="D825" s="166"/>
      <c r="E825" s="166"/>
    </row>
    <row r="826">
      <c r="A826" s="165"/>
      <c r="C826" s="166"/>
      <c r="D826" s="166"/>
      <c r="E826" s="166"/>
    </row>
    <row r="827">
      <c r="A827" s="165"/>
      <c r="C827" s="166"/>
      <c r="D827" s="166"/>
      <c r="E827" s="166"/>
    </row>
    <row r="828">
      <c r="A828" s="165"/>
      <c r="C828" s="166"/>
      <c r="D828" s="166"/>
      <c r="E828" s="166"/>
    </row>
    <row r="829">
      <c r="A829" s="165"/>
      <c r="C829" s="166"/>
      <c r="D829" s="166"/>
      <c r="E829" s="166"/>
    </row>
    <row r="830">
      <c r="A830" s="165"/>
      <c r="C830" s="166"/>
      <c r="D830" s="166"/>
      <c r="E830" s="166"/>
    </row>
    <row r="831">
      <c r="A831" s="165"/>
      <c r="C831" s="166"/>
      <c r="D831" s="166"/>
      <c r="E831" s="166"/>
    </row>
    <row r="832">
      <c r="A832" s="165"/>
      <c r="C832" s="166"/>
      <c r="D832" s="166"/>
      <c r="E832" s="166"/>
    </row>
    <row r="833">
      <c r="A833" s="165"/>
      <c r="C833" s="166"/>
      <c r="D833" s="166"/>
      <c r="E833" s="166"/>
    </row>
    <row r="834">
      <c r="A834" s="165"/>
      <c r="C834" s="166"/>
      <c r="D834" s="166"/>
      <c r="E834" s="166"/>
    </row>
    <row r="835">
      <c r="A835" s="165"/>
      <c r="C835" s="166"/>
      <c r="D835" s="166"/>
      <c r="E835" s="166"/>
    </row>
    <row r="836">
      <c r="A836" s="165"/>
      <c r="C836" s="166"/>
      <c r="D836" s="166"/>
      <c r="E836" s="166"/>
    </row>
    <row r="837">
      <c r="A837" s="165"/>
      <c r="C837" s="166"/>
      <c r="D837" s="166"/>
      <c r="E837" s="166"/>
    </row>
    <row r="838">
      <c r="A838" s="165"/>
      <c r="C838" s="166"/>
      <c r="D838" s="166"/>
      <c r="E838" s="166"/>
    </row>
    <row r="839">
      <c r="A839" s="165"/>
      <c r="C839" s="166"/>
      <c r="D839" s="166"/>
      <c r="E839" s="166"/>
    </row>
    <row r="840">
      <c r="A840" s="165"/>
      <c r="C840" s="166"/>
      <c r="D840" s="166"/>
      <c r="E840" s="166"/>
    </row>
    <row r="841">
      <c r="A841" s="165"/>
      <c r="C841" s="166"/>
      <c r="D841" s="166"/>
      <c r="E841" s="166"/>
    </row>
    <row r="842">
      <c r="A842" s="165"/>
      <c r="C842" s="166"/>
      <c r="D842" s="166"/>
      <c r="E842" s="166"/>
    </row>
    <row r="843">
      <c r="A843" s="165"/>
      <c r="C843" s="166"/>
      <c r="D843" s="166"/>
      <c r="E843" s="166"/>
    </row>
    <row r="844">
      <c r="A844" s="165"/>
      <c r="C844" s="166"/>
      <c r="D844" s="166"/>
      <c r="E844" s="166"/>
    </row>
    <row r="845">
      <c r="A845" s="165"/>
      <c r="C845" s="166"/>
      <c r="D845" s="166"/>
      <c r="E845" s="166"/>
    </row>
    <row r="846">
      <c r="A846" s="165"/>
      <c r="C846" s="166"/>
      <c r="D846" s="166"/>
      <c r="E846" s="166"/>
    </row>
    <row r="847">
      <c r="A847" s="165"/>
      <c r="C847" s="166"/>
      <c r="D847" s="166"/>
      <c r="E847" s="166"/>
    </row>
    <row r="848">
      <c r="A848" s="165"/>
      <c r="C848" s="166"/>
      <c r="D848" s="166"/>
      <c r="E848" s="166"/>
    </row>
    <row r="849">
      <c r="A849" s="165"/>
      <c r="C849" s="166"/>
      <c r="D849" s="166"/>
      <c r="E849" s="166"/>
    </row>
    <row r="850">
      <c r="A850" s="165"/>
      <c r="C850" s="166"/>
      <c r="D850" s="166"/>
      <c r="E850" s="166"/>
    </row>
    <row r="851">
      <c r="A851" s="165"/>
      <c r="C851" s="166"/>
      <c r="D851" s="166"/>
      <c r="E851" s="166"/>
    </row>
    <row r="852">
      <c r="A852" s="165"/>
      <c r="C852" s="166"/>
      <c r="D852" s="166"/>
      <c r="E852" s="166"/>
    </row>
    <row r="853">
      <c r="A853" s="165"/>
      <c r="C853" s="166"/>
      <c r="D853" s="166"/>
      <c r="E853" s="166"/>
    </row>
    <row r="854">
      <c r="A854" s="165"/>
      <c r="C854" s="166"/>
      <c r="D854" s="166"/>
      <c r="E854" s="166"/>
    </row>
    <row r="855">
      <c r="A855" s="165"/>
      <c r="C855" s="166"/>
      <c r="D855" s="166"/>
      <c r="E855" s="166"/>
    </row>
    <row r="856">
      <c r="A856" s="165"/>
      <c r="C856" s="166"/>
      <c r="D856" s="166"/>
      <c r="E856" s="166"/>
    </row>
    <row r="857">
      <c r="A857" s="165"/>
      <c r="C857" s="166"/>
      <c r="D857" s="166"/>
      <c r="E857" s="166"/>
    </row>
    <row r="858">
      <c r="A858" s="165"/>
      <c r="C858" s="166"/>
      <c r="D858" s="166"/>
      <c r="E858" s="166"/>
    </row>
    <row r="859">
      <c r="A859" s="165"/>
      <c r="C859" s="166"/>
      <c r="D859" s="166"/>
      <c r="E859" s="166"/>
    </row>
    <row r="860">
      <c r="A860" s="165"/>
      <c r="C860" s="166"/>
      <c r="D860" s="166"/>
      <c r="E860" s="166"/>
    </row>
    <row r="861">
      <c r="A861" s="165"/>
      <c r="C861" s="166"/>
      <c r="D861" s="166"/>
      <c r="E861" s="166"/>
    </row>
    <row r="862">
      <c r="A862" s="165"/>
      <c r="C862" s="166"/>
      <c r="D862" s="166"/>
      <c r="E862" s="166"/>
    </row>
    <row r="863">
      <c r="A863" s="165"/>
      <c r="C863" s="166"/>
      <c r="D863" s="166"/>
      <c r="E863" s="166"/>
    </row>
    <row r="864">
      <c r="A864" s="165"/>
      <c r="C864" s="166"/>
      <c r="D864" s="166"/>
      <c r="E864" s="166"/>
    </row>
    <row r="865">
      <c r="A865" s="165"/>
      <c r="C865" s="166"/>
      <c r="D865" s="166"/>
      <c r="E865" s="166"/>
    </row>
    <row r="866">
      <c r="A866" s="165"/>
      <c r="C866" s="166"/>
      <c r="D866" s="166"/>
      <c r="E866" s="166"/>
    </row>
    <row r="867">
      <c r="A867" s="165"/>
      <c r="C867" s="166"/>
      <c r="D867" s="166"/>
      <c r="E867" s="166"/>
    </row>
    <row r="868">
      <c r="A868" s="165"/>
      <c r="C868" s="166"/>
      <c r="D868" s="166"/>
      <c r="E868" s="166"/>
    </row>
    <row r="869">
      <c r="A869" s="165"/>
      <c r="C869" s="166"/>
      <c r="D869" s="166"/>
      <c r="E869" s="166"/>
    </row>
    <row r="870">
      <c r="A870" s="165"/>
      <c r="C870" s="166"/>
      <c r="D870" s="166"/>
      <c r="E870" s="166"/>
    </row>
    <row r="871">
      <c r="A871" s="165"/>
      <c r="C871" s="166"/>
      <c r="D871" s="166"/>
      <c r="E871" s="166"/>
    </row>
    <row r="872">
      <c r="A872" s="165"/>
      <c r="C872" s="166"/>
      <c r="D872" s="166"/>
      <c r="E872" s="166"/>
    </row>
    <row r="873">
      <c r="A873" s="165"/>
      <c r="C873" s="166"/>
      <c r="D873" s="166"/>
      <c r="E873" s="166"/>
    </row>
    <row r="874">
      <c r="A874" s="165"/>
      <c r="C874" s="166"/>
      <c r="D874" s="166"/>
      <c r="E874" s="166"/>
    </row>
    <row r="875">
      <c r="A875" s="165"/>
      <c r="C875" s="166"/>
      <c r="D875" s="166"/>
      <c r="E875" s="166"/>
    </row>
    <row r="876">
      <c r="A876" s="165"/>
      <c r="C876" s="166"/>
      <c r="D876" s="166"/>
      <c r="E876" s="166"/>
    </row>
    <row r="877">
      <c r="A877" s="165"/>
      <c r="C877" s="166"/>
      <c r="D877" s="166"/>
      <c r="E877" s="166"/>
    </row>
    <row r="878">
      <c r="A878" s="165"/>
      <c r="C878" s="166"/>
      <c r="D878" s="166"/>
      <c r="E878" s="166"/>
    </row>
    <row r="879">
      <c r="A879" s="165"/>
      <c r="C879" s="166"/>
      <c r="D879" s="166"/>
      <c r="E879" s="166"/>
    </row>
    <row r="880">
      <c r="A880" s="165"/>
      <c r="C880" s="166"/>
      <c r="D880" s="166"/>
      <c r="E880" s="166"/>
    </row>
    <row r="881">
      <c r="A881" s="165"/>
      <c r="C881" s="166"/>
      <c r="D881" s="166"/>
      <c r="E881" s="166"/>
    </row>
    <row r="882">
      <c r="A882" s="165"/>
      <c r="C882" s="166"/>
      <c r="D882" s="166"/>
      <c r="E882" s="166"/>
    </row>
    <row r="883">
      <c r="A883" s="165"/>
      <c r="C883" s="166"/>
      <c r="D883" s="166"/>
      <c r="E883" s="166"/>
    </row>
    <row r="884">
      <c r="A884" s="165"/>
      <c r="C884" s="166"/>
      <c r="D884" s="166"/>
      <c r="E884" s="166"/>
    </row>
    <row r="885">
      <c r="A885" s="165"/>
      <c r="C885" s="166"/>
      <c r="D885" s="166"/>
      <c r="E885" s="166"/>
    </row>
    <row r="886">
      <c r="A886" s="165"/>
      <c r="C886" s="166"/>
      <c r="D886" s="166"/>
      <c r="E886" s="166"/>
    </row>
    <row r="887">
      <c r="A887" s="165"/>
      <c r="C887" s="166"/>
      <c r="D887" s="166"/>
      <c r="E887" s="166"/>
    </row>
    <row r="888">
      <c r="A888" s="165"/>
      <c r="C888" s="166"/>
      <c r="D888" s="166"/>
      <c r="E888" s="166"/>
    </row>
    <row r="889">
      <c r="A889" s="165"/>
      <c r="C889" s="166"/>
      <c r="D889" s="166"/>
      <c r="E889" s="166"/>
    </row>
    <row r="890">
      <c r="A890" s="165"/>
      <c r="C890" s="166"/>
      <c r="D890" s="166"/>
      <c r="E890" s="166"/>
    </row>
    <row r="891">
      <c r="A891" s="165"/>
      <c r="C891" s="166"/>
      <c r="D891" s="166"/>
      <c r="E891" s="166"/>
    </row>
    <row r="892">
      <c r="A892" s="165"/>
      <c r="C892" s="166"/>
      <c r="D892" s="166"/>
      <c r="E892" s="166"/>
    </row>
    <row r="893">
      <c r="A893" s="165"/>
      <c r="C893" s="166"/>
      <c r="D893" s="166"/>
      <c r="E893" s="166"/>
    </row>
    <row r="894">
      <c r="A894" s="165"/>
      <c r="C894" s="166"/>
      <c r="D894" s="166"/>
      <c r="E894" s="166"/>
    </row>
    <row r="895">
      <c r="A895" s="165"/>
      <c r="C895" s="166"/>
      <c r="D895" s="166"/>
      <c r="E895" s="166"/>
    </row>
    <row r="896">
      <c r="A896" s="165"/>
      <c r="C896" s="166"/>
      <c r="D896" s="166"/>
      <c r="E896" s="166"/>
    </row>
    <row r="897">
      <c r="A897" s="165"/>
      <c r="C897" s="166"/>
      <c r="D897" s="166"/>
      <c r="E897" s="166"/>
    </row>
    <row r="898">
      <c r="A898" s="165"/>
      <c r="C898" s="166"/>
      <c r="D898" s="166"/>
      <c r="E898" s="166"/>
    </row>
    <row r="899">
      <c r="A899" s="165"/>
      <c r="C899" s="166"/>
      <c r="D899" s="166"/>
      <c r="E899" s="166"/>
    </row>
    <row r="900">
      <c r="A900" s="165"/>
      <c r="C900" s="166"/>
      <c r="D900" s="166"/>
      <c r="E900" s="166"/>
    </row>
    <row r="901">
      <c r="A901" s="165"/>
      <c r="C901" s="166"/>
      <c r="D901" s="166"/>
      <c r="E901" s="166"/>
    </row>
    <row r="902">
      <c r="A902" s="165"/>
      <c r="C902" s="166"/>
      <c r="D902" s="166"/>
      <c r="E902" s="166"/>
    </row>
    <row r="903">
      <c r="A903" s="165"/>
      <c r="C903" s="166"/>
      <c r="D903" s="166"/>
      <c r="E903" s="166"/>
    </row>
    <row r="904">
      <c r="A904" s="165"/>
      <c r="C904" s="166"/>
      <c r="D904" s="166"/>
      <c r="E904" s="166"/>
    </row>
    <row r="905">
      <c r="A905" s="165"/>
      <c r="C905" s="166"/>
      <c r="D905" s="166"/>
      <c r="E905" s="166"/>
    </row>
    <row r="906">
      <c r="A906" s="165"/>
      <c r="C906" s="166"/>
      <c r="D906" s="166"/>
      <c r="E906" s="166"/>
    </row>
    <row r="907">
      <c r="A907" s="165"/>
      <c r="C907" s="166"/>
      <c r="D907" s="166"/>
      <c r="E907" s="166"/>
    </row>
    <row r="908">
      <c r="A908" s="165"/>
      <c r="C908" s="166"/>
      <c r="D908" s="166"/>
      <c r="E908" s="166"/>
    </row>
    <row r="909">
      <c r="A909" s="165"/>
      <c r="C909" s="166"/>
      <c r="D909" s="166"/>
      <c r="E909" s="166"/>
    </row>
    <row r="910">
      <c r="A910" s="165"/>
      <c r="C910" s="166"/>
      <c r="D910" s="166"/>
      <c r="E910" s="166"/>
    </row>
    <row r="911">
      <c r="A911" s="165"/>
      <c r="C911" s="166"/>
      <c r="D911" s="166"/>
      <c r="E911" s="166"/>
    </row>
    <row r="912">
      <c r="A912" s="165"/>
      <c r="C912" s="166"/>
      <c r="D912" s="166"/>
      <c r="E912" s="166"/>
    </row>
    <row r="913">
      <c r="A913" s="165"/>
      <c r="C913" s="166"/>
      <c r="D913" s="166"/>
      <c r="E913" s="166"/>
    </row>
    <row r="914">
      <c r="A914" s="165"/>
      <c r="C914" s="166"/>
      <c r="D914" s="166"/>
      <c r="E914" s="166"/>
    </row>
    <row r="915">
      <c r="A915" s="165"/>
      <c r="C915" s="166"/>
      <c r="D915" s="166"/>
      <c r="E915" s="166"/>
    </row>
    <row r="916">
      <c r="A916" s="165"/>
      <c r="C916" s="166"/>
      <c r="D916" s="166"/>
      <c r="E916" s="166"/>
    </row>
    <row r="917">
      <c r="A917" s="165"/>
      <c r="C917" s="166"/>
      <c r="D917" s="166"/>
      <c r="E917" s="166"/>
    </row>
    <row r="918">
      <c r="A918" s="165"/>
      <c r="C918" s="166"/>
      <c r="D918" s="166"/>
      <c r="E918" s="166"/>
    </row>
    <row r="919">
      <c r="A919" s="165"/>
      <c r="C919" s="166"/>
      <c r="D919" s="166"/>
      <c r="E919" s="166"/>
    </row>
    <row r="920">
      <c r="A920" s="165"/>
      <c r="C920" s="166"/>
      <c r="D920" s="166"/>
      <c r="E920" s="166"/>
    </row>
    <row r="921">
      <c r="A921" s="165"/>
      <c r="C921" s="166"/>
      <c r="D921" s="166"/>
      <c r="E921" s="166"/>
    </row>
    <row r="922">
      <c r="A922" s="165"/>
      <c r="C922" s="166"/>
      <c r="D922" s="166"/>
      <c r="E922" s="166"/>
    </row>
    <row r="923">
      <c r="A923" s="165"/>
      <c r="C923" s="166"/>
      <c r="D923" s="166"/>
      <c r="E923" s="166"/>
    </row>
    <row r="924">
      <c r="A924" s="165"/>
      <c r="C924" s="166"/>
      <c r="D924" s="166"/>
      <c r="E924" s="166"/>
    </row>
    <row r="925">
      <c r="A925" s="165"/>
      <c r="C925" s="166"/>
      <c r="D925" s="166"/>
      <c r="E925" s="166"/>
    </row>
    <row r="926">
      <c r="A926" s="165"/>
      <c r="C926" s="166"/>
      <c r="D926" s="166"/>
      <c r="E926" s="166"/>
    </row>
    <row r="927">
      <c r="A927" s="165"/>
      <c r="C927" s="166"/>
      <c r="D927" s="166"/>
      <c r="E927" s="166"/>
    </row>
    <row r="928">
      <c r="A928" s="165"/>
      <c r="C928" s="166"/>
      <c r="D928" s="166"/>
      <c r="E928" s="166"/>
    </row>
    <row r="929">
      <c r="A929" s="165"/>
      <c r="C929" s="166"/>
      <c r="D929" s="166"/>
      <c r="E929" s="166"/>
    </row>
    <row r="930">
      <c r="A930" s="165"/>
      <c r="C930" s="166"/>
      <c r="D930" s="166"/>
      <c r="E930" s="166"/>
    </row>
    <row r="931">
      <c r="A931" s="165"/>
      <c r="C931" s="166"/>
      <c r="D931" s="166"/>
      <c r="E931" s="166"/>
    </row>
    <row r="932">
      <c r="A932" s="165"/>
      <c r="C932" s="166"/>
      <c r="D932" s="166"/>
      <c r="E932" s="166"/>
    </row>
    <row r="933">
      <c r="A933" s="165"/>
      <c r="C933" s="166"/>
      <c r="D933" s="166"/>
      <c r="E933" s="166"/>
    </row>
    <row r="934">
      <c r="A934" s="165"/>
      <c r="C934" s="166"/>
      <c r="D934" s="166"/>
      <c r="E934" s="166"/>
    </row>
    <row r="935">
      <c r="A935" s="165"/>
      <c r="C935" s="166"/>
      <c r="D935" s="166"/>
      <c r="E935" s="166"/>
    </row>
    <row r="936">
      <c r="A936" s="165"/>
      <c r="C936" s="166"/>
      <c r="D936" s="166"/>
      <c r="E936" s="166"/>
    </row>
    <row r="937">
      <c r="A937" s="165"/>
      <c r="C937" s="166"/>
      <c r="D937" s="166"/>
      <c r="E937" s="166"/>
    </row>
    <row r="938">
      <c r="A938" s="165"/>
      <c r="C938" s="166"/>
      <c r="D938" s="166"/>
      <c r="E938" s="166"/>
    </row>
    <row r="939">
      <c r="A939" s="165"/>
      <c r="C939" s="166"/>
      <c r="D939" s="166"/>
      <c r="E939" s="166"/>
    </row>
    <row r="940">
      <c r="A940" s="165"/>
      <c r="C940" s="166"/>
      <c r="D940" s="166"/>
      <c r="E940" s="166"/>
    </row>
    <row r="941">
      <c r="A941" s="165"/>
      <c r="C941" s="166"/>
      <c r="D941" s="166"/>
      <c r="E941" s="166"/>
    </row>
    <row r="942">
      <c r="A942" s="165"/>
      <c r="C942" s="166"/>
      <c r="D942" s="166"/>
      <c r="E942" s="166"/>
    </row>
    <row r="943">
      <c r="A943" s="165"/>
      <c r="C943" s="166"/>
      <c r="D943" s="166"/>
      <c r="E943" s="166"/>
    </row>
    <row r="944">
      <c r="A944" s="165"/>
      <c r="C944" s="166"/>
      <c r="D944" s="166"/>
      <c r="E944" s="166"/>
    </row>
    <row r="945">
      <c r="A945" s="165"/>
      <c r="C945" s="166"/>
      <c r="D945" s="166"/>
      <c r="E945" s="166"/>
    </row>
    <row r="946">
      <c r="A946" s="165"/>
      <c r="C946" s="166"/>
      <c r="D946" s="166"/>
      <c r="E946" s="166"/>
    </row>
    <row r="947">
      <c r="A947" s="165"/>
      <c r="C947" s="166"/>
      <c r="D947" s="166"/>
      <c r="E947" s="166"/>
    </row>
    <row r="948">
      <c r="A948" s="165"/>
      <c r="C948" s="166"/>
      <c r="D948" s="166"/>
      <c r="E948" s="166"/>
    </row>
    <row r="949">
      <c r="A949" s="165"/>
      <c r="C949" s="166"/>
      <c r="D949" s="166"/>
      <c r="E949" s="166"/>
    </row>
    <row r="950">
      <c r="A950" s="165"/>
      <c r="C950" s="166"/>
      <c r="D950" s="166"/>
      <c r="E950" s="166"/>
    </row>
    <row r="951">
      <c r="A951" s="165"/>
      <c r="C951" s="166"/>
      <c r="D951" s="166"/>
      <c r="E951" s="166"/>
    </row>
    <row r="952">
      <c r="A952" s="165"/>
      <c r="C952" s="166"/>
      <c r="D952" s="166"/>
      <c r="E952" s="166"/>
    </row>
    <row r="953">
      <c r="A953" s="165"/>
      <c r="C953" s="166"/>
      <c r="D953" s="166"/>
      <c r="E953" s="166"/>
    </row>
    <row r="954">
      <c r="A954" s="165"/>
      <c r="C954" s="166"/>
      <c r="D954" s="166"/>
      <c r="E954" s="166"/>
    </row>
    <row r="955">
      <c r="A955" s="165"/>
      <c r="C955" s="166"/>
      <c r="D955" s="166"/>
      <c r="E955" s="166"/>
    </row>
    <row r="956">
      <c r="A956" s="165"/>
      <c r="C956" s="166"/>
      <c r="D956" s="166"/>
      <c r="E956" s="166"/>
    </row>
    <row r="957">
      <c r="A957" s="165"/>
      <c r="C957" s="166"/>
      <c r="D957" s="166"/>
      <c r="E957" s="166"/>
    </row>
    <row r="958">
      <c r="A958" s="165"/>
      <c r="C958" s="166"/>
      <c r="D958" s="166"/>
      <c r="E958" s="166"/>
    </row>
    <row r="959">
      <c r="A959" s="165"/>
      <c r="C959" s="166"/>
      <c r="D959" s="166"/>
      <c r="E959" s="166"/>
    </row>
    <row r="960">
      <c r="A960" s="165"/>
      <c r="C960" s="166"/>
      <c r="D960" s="166"/>
      <c r="E960" s="166"/>
    </row>
    <row r="961">
      <c r="A961" s="165"/>
      <c r="C961" s="166"/>
      <c r="D961" s="166"/>
      <c r="E961" s="166"/>
    </row>
    <row r="962">
      <c r="A962" s="165"/>
      <c r="C962" s="166"/>
      <c r="D962" s="166"/>
      <c r="E962" s="166"/>
    </row>
    <row r="963">
      <c r="A963" s="165"/>
      <c r="C963" s="166"/>
      <c r="D963" s="166"/>
      <c r="E963" s="166"/>
    </row>
    <row r="964">
      <c r="A964" s="165"/>
      <c r="C964" s="166"/>
      <c r="D964" s="166"/>
      <c r="E964" s="166"/>
    </row>
    <row r="965">
      <c r="A965" s="165"/>
      <c r="C965" s="166"/>
      <c r="D965" s="166"/>
      <c r="E965" s="166"/>
    </row>
    <row r="966">
      <c r="A966" s="165"/>
      <c r="C966" s="166"/>
      <c r="D966" s="166"/>
      <c r="E966" s="166"/>
    </row>
    <row r="967">
      <c r="A967" s="165"/>
      <c r="C967" s="166"/>
      <c r="D967" s="166"/>
      <c r="E967" s="166"/>
    </row>
    <row r="968">
      <c r="A968" s="165"/>
      <c r="C968" s="166"/>
      <c r="D968" s="166"/>
      <c r="E968" s="166"/>
    </row>
    <row r="969">
      <c r="A969" s="165"/>
      <c r="C969" s="166"/>
      <c r="D969" s="166"/>
      <c r="E969" s="166"/>
    </row>
    <row r="970">
      <c r="A970" s="165"/>
      <c r="C970" s="166"/>
      <c r="D970" s="166"/>
      <c r="E970" s="166"/>
    </row>
    <row r="971">
      <c r="A971" s="165"/>
      <c r="C971" s="166"/>
      <c r="D971" s="166"/>
      <c r="E971" s="166"/>
    </row>
    <row r="972">
      <c r="A972" s="165"/>
      <c r="C972" s="166"/>
      <c r="D972" s="166"/>
      <c r="E972" s="166"/>
    </row>
    <row r="973">
      <c r="A973" s="165"/>
      <c r="C973" s="166"/>
      <c r="D973" s="166"/>
      <c r="E973" s="166"/>
    </row>
    <row r="974">
      <c r="A974" s="165"/>
      <c r="C974" s="166"/>
      <c r="D974" s="166"/>
      <c r="E974" s="166"/>
    </row>
    <row r="975">
      <c r="A975" s="165"/>
      <c r="C975" s="166"/>
      <c r="D975" s="166"/>
      <c r="E975" s="166"/>
    </row>
    <row r="976">
      <c r="A976" s="165"/>
      <c r="C976" s="166"/>
      <c r="D976" s="166"/>
      <c r="E976" s="166"/>
    </row>
    <row r="977">
      <c r="A977" s="165"/>
      <c r="C977" s="166"/>
      <c r="D977" s="166"/>
      <c r="E977" s="166"/>
    </row>
    <row r="978">
      <c r="A978" s="165"/>
      <c r="C978" s="166"/>
      <c r="D978" s="166"/>
      <c r="E978" s="166"/>
    </row>
    <row r="979">
      <c r="A979" s="165"/>
      <c r="C979" s="166"/>
      <c r="D979" s="166"/>
      <c r="E979" s="166"/>
    </row>
    <row r="980">
      <c r="A980" s="165"/>
      <c r="C980" s="166"/>
      <c r="D980" s="166"/>
      <c r="E980" s="166"/>
    </row>
    <row r="981">
      <c r="A981" s="165"/>
      <c r="C981" s="166"/>
      <c r="D981" s="166"/>
      <c r="E981" s="166"/>
    </row>
    <row r="982">
      <c r="A982" s="165"/>
      <c r="C982" s="166"/>
      <c r="D982" s="166"/>
      <c r="E982" s="166"/>
    </row>
    <row r="983">
      <c r="A983" s="165"/>
      <c r="C983" s="166"/>
      <c r="D983" s="166"/>
      <c r="E983" s="166"/>
    </row>
    <row r="984">
      <c r="A984" s="165"/>
      <c r="C984" s="166"/>
      <c r="D984" s="166"/>
      <c r="E984" s="166"/>
    </row>
    <row r="985">
      <c r="A985" s="165"/>
      <c r="C985" s="166"/>
      <c r="D985" s="166"/>
      <c r="E985" s="166"/>
    </row>
    <row r="986">
      <c r="A986" s="165"/>
      <c r="C986" s="166"/>
      <c r="D986" s="166"/>
      <c r="E986" s="166"/>
    </row>
    <row r="987">
      <c r="A987" s="165"/>
      <c r="C987" s="166"/>
      <c r="D987" s="166"/>
      <c r="E987" s="166"/>
    </row>
    <row r="988">
      <c r="A988" s="165"/>
      <c r="C988" s="166"/>
      <c r="D988" s="166"/>
      <c r="E988" s="166"/>
    </row>
    <row r="989">
      <c r="A989" s="165"/>
      <c r="C989" s="166"/>
      <c r="D989" s="166"/>
      <c r="E989" s="166"/>
    </row>
    <row r="990">
      <c r="A990" s="165"/>
      <c r="C990" s="166"/>
      <c r="D990" s="166"/>
      <c r="E990" s="166"/>
    </row>
    <row r="991">
      <c r="A991" s="165"/>
      <c r="C991" s="166"/>
      <c r="D991" s="166"/>
      <c r="E991" s="166"/>
    </row>
    <row r="992">
      <c r="A992" s="165"/>
      <c r="C992" s="166"/>
      <c r="D992" s="166"/>
      <c r="E992" s="166"/>
    </row>
    <row r="993">
      <c r="A993" s="165"/>
      <c r="C993" s="166"/>
      <c r="D993" s="166"/>
      <c r="E993" s="166"/>
    </row>
    <row r="994">
      <c r="A994" s="165"/>
      <c r="C994" s="166"/>
      <c r="D994" s="166"/>
      <c r="E994" s="166"/>
    </row>
    <row r="995">
      <c r="A995" s="165"/>
      <c r="C995" s="166"/>
      <c r="D995" s="166"/>
      <c r="E995" s="166"/>
    </row>
    <row r="996">
      <c r="A996" s="165"/>
      <c r="C996" s="166"/>
      <c r="D996" s="166"/>
      <c r="E996" s="166"/>
    </row>
    <row r="997">
      <c r="A997" s="165"/>
      <c r="C997" s="166"/>
      <c r="D997" s="166"/>
      <c r="E997" s="166"/>
    </row>
    <row r="998">
      <c r="A998" s="165"/>
      <c r="C998" s="166"/>
      <c r="D998" s="166"/>
      <c r="E998" s="166"/>
    </row>
    <row r="999">
      <c r="A999" s="165"/>
      <c r="C999" s="166"/>
      <c r="D999" s="166"/>
      <c r="E999" s="166"/>
    </row>
    <row r="1000">
      <c r="A1000" s="165"/>
      <c r="C1000" s="166"/>
      <c r="D1000" s="166"/>
      <c r="E1000" s="166"/>
    </row>
  </sheetData>
  <mergeCells count="1">
    <mergeCell ref="G7:J7"/>
  </mergeCells>
  <conditionalFormatting sqref="H2:H6">
    <cfRule type="cellIs" dxfId="6" priority="1" operator="greaterThanOrEqual">
      <formula>"I2:I6"</formula>
    </cfRule>
  </conditionalFormatting>
  <conditionalFormatting sqref="J2:J6">
    <cfRule type="cellIs" dxfId="7" priority="2" operator="greaterThanOrEqual">
      <formula>1</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3" width="9.38"/>
    <col customWidth="1" min="4" max="4" width="5.13"/>
    <col customWidth="1" min="5" max="5" width="26.38"/>
  </cols>
  <sheetData>
    <row r="1">
      <c r="A1" s="9">
        <f>(H1+sum(H17:H19))/(F1+sum(F17:F19))</f>
        <v>3.268813559</v>
      </c>
      <c r="F1" s="11">
        <f>sum(F4:F15)</f>
        <v>47</v>
      </c>
      <c r="G1" s="13"/>
      <c r="H1" s="16">
        <f>A4*F1</f>
        <v>158.86</v>
      </c>
    </row>
    <row r="2">
      <c r="A2" s="17"/>
      <c r="B2" s="17" t="s">
        <v>24</v>
      </c>
      <c r="C2" s="17"/>
      <c r="D2" s="17"/>
      <c r="E2" s="17"/>
      <c r="F2" s="17">
        <f>SUM(F4:F96)</f>
        <v>125</v>
      </c>
      <c r="G2" s="17"/>
      <c r="H2" s="22">
        <f>SUM(H4:H96)</f>
        <v>448</v>
      </c>
    </row>
    <row r="3">
      <c r="A3" s="23"/>
      <c r="B3" s="23" t="s">
        <v>32</v>
      </c>
      <c r="C3" s="23" t="s">
        <v>33</v>
      </c>
      <c r="D3" s="23" t="s">
        <v>34</v>
      </c>
      <c r="E3" s="23" t="s">
        <v>36</v>
      </c>
      <c r="F3" s="29" t="s">
        <v>38</v>
      </c>
      <c r="G3" s="23" t="s">
        <v>46</v>
      </c>
      <c r="H3" s="31" t="s">
        <v>48</v>
      </c>
    </row>
    <row r="4">
      <c r="A4" s="33">
        <v>3.38</v>
      </c>
      <c r="B4" s="34">
        <v>1.0</v>
      </c>
      <c r="C4" s="33">
        <f>AVERAGE(G4:G7)</f>
        <v>3.375</v>
      </c>
      <c r="D4" s="34">
        <v>1.0</v>
      </c>
      <c r="E4" s="39" t="s">
        <v>56</v>
      </c>
      <c r="F4" s="34">
        <v>4.0</v>
      </c>
      <c r="G4" s="34">
        <v>4.0</v>
      </c>
      <c r="H4" s="34">
        <f t="shared" ref="H4:H41" si="1">G4*F4</f>
        <v>16</v>
      </c>
    </row>
    <row r="5">
      <c r="D5" s="34">
        <v>2.0</v>
      </c>
      <c r="E5" s="39" t="s">
        <v>68</v>
      </c>
      <c r="F5" s="34">
        <v>4.0</v>
      </c>
      <c r="G5" s="34">
        <v>3.0</v>
      </c>
      <c r="H5" s="34">
        <f t="shared" si="1"/>
        <v>12</v>
      </c>
    </row>
    <row r="6">
      <c r="D6" s="34">
        <v>3.0</v>
      </c>
      <c r="E6" s="39" t="s">
        <v>70</v>
      </c>
      <c r="F6" s="34">
        <v>4.0</v>
      </c>
      <c r="G6" s="34">
        <v>3.0</v>
      </c>
      <c r="H6" s="34">
        <f t="shared" si="1"/>
        <v>12</v>
      </c>
    </row>
    <row r="7">
      <c r="D7" s="34">
        <v>4.0</v>
      </c>
      <c r="E7" s="39" t="s">
        <v>71</v>
      </c>
      <c r="F7" s="34">
        <v>4.0</v>
      </c>
      <c r="G7" s="34">
        <v>3.5</v>
      </c>
      <c r="H7" s="34">
        <f t="shared" si="1"/>
        <v>14</v>
      </c>
    </row>
    <row r="8">
      <c r="B8" s="34">
        <v>2.0</v>
      </c>
      <c r="C8" s="33">
        <f>AVERAGE(G8:G11)</f>
        <v>2.875</v>
      </c>
      <c r="D8" s="34">
        <v>5.0</v>
      </c>
      <c r="E8" s="39" t="s">
        <v>76</v>
      </c>
      <c r="F8" s="34">
        <v>4.0</v>
      </c>
      <c r="G8" s="34">
        <v>2.0</v>
      </c>
      <c r="H8" s="34">
        <f t="shared" si="1"/>
        <v>8</v>
      </c>
    </row>
    <row r="9">
      <c r="D9" s="34">
        <v>6.0</v>
      </c>
      <c r="E9" s="39" t="s">
        <v>78</v>
      </c>
      <c r="F9" s="34">
        <v>4.0</v>
      </c>
      <c r="G9" s="34">
        <v>3.0</v>
      </c>
      <c r="H9" s="34">
        <f t="shared" si="1"/>
        <v>12</v>
      </c>
    </row>
    <row r="10">
      <c r="D10" s="34">
        <v>7.0</v>
      </c>
      <c r="E10" s="39" t="s">
        <v>82</v>
      </c>
      <c r="F10" s="34">
        <v>4.0</v>
      </c>
      <c r="G10" s="34">
        <v>3.5</v>
      </c>
      <c r="H10" s="34">
        <f t="shared" si="1"/>
        <v>14</v>
      </c>
    </row>
    <row r="11">
      <c r="D11" s="34">
        <v>8.0</v>
      </c>
      <c r="E11" s="44" t="s">
        <v>87</v>
      </c>
      <c r="F11" s="34">
        <v>4.0</v>
      </c>
      <c r="G11" s="34">
        <v>3.0</v>
      </c>
      <c r="H11" s="34">
        <f t="shared" si="1"/>
        <v>12</v>
      </c>
    </row>
    <row r="12">
      <c r="B12" s="34">
        <v>3.0</v>
      </c>
      <c r="C12" s="33">
        <f>sum(H12:H16)/sum(F12:F16)</f>
        <v>3.333333333</v>
      </c>
      <c r="D12" s="34">
        <v>9.0</v>
      </c>
      <c r="E12" s="44" t="s">
        <v>88</v>
      </c>
      <c r="F12" s="34">
        <v>4.0</v>
      </c>
      <c r="G12" s="34">
        <v>3.0</v>
      </c>
      <c r="H12" s="34">
        <f t="shared" si="1"/>
        <v>12</v>
      </c>
    </row>
    <row r="13">
      <c r="D13" s="34">
        <v>10.0</v>
      </c>
      <c r="E13" s="44" t="s">
        <v>90</v>
      </c>
      <c r="F13" s="34">
        <v>4.0</v>
      </c>
      <c r="G13" s="34">
        <v>3.0</v>
      </c>
      <c r="H13" s="34">
        <f t="shared" si="1"/>
        <v>12</v>
      </c>
    </row>
    <row r="14">
      <c r="D14" s="34">
        <v>11.0</v>
      </c>
      <c r="E14" s="44" t="s">
        <v>94</v>
      </c>
      <c r="F14" s="34">
        <v>4.0</v>
      </c>
      <c r="G14" s="34">
        <v>3.5</v>
      </c>
      <c r="H14" s="34">
        <f t="shared" si="1"/>
        <v>14</v>
      </c>
    </row>
    <row r="15">
      <c r="D15" s="34">
        <v>12.0</v>
      </c>
      <c r="E15" s="44" t="s">
        <v>95</v>
      </c>
      <c r="F15" s="34">
        <v>3.0</v>
      </c>
      <c r="G15" s="34">
        <v>4.0</v>
      </c>
      <c r="H15" s="34">
        <f t="shared" si="1"/>
        <v>12</v>
      </c>
    </row>
    <row r="16">
      <c r="D16" s="34">
        <v>13.0</v>
      </c>
      <c r="E16" s="44" t="s">
        <v>96</v>
      </c>
      <c r="F16" s="34"/>
      <c r="G16" s="45"/>
      <c r="H16" s="34">
        <f t="shared" si="1"/>
        <v>0</v>
      </c>
    </row>
    <row r="17">
      <c r="A17" s="46">
        <f>sum(H17:H28)/sum(F17:F28)</f>
        <v>3.611111111</v>
      </c>
      <c r="B17" s="47">
        <v>4.0</v>
      </c>
      <c r="C17" s="46">
        <f>sum(H17:H20)/sum(F17:F19)</f>
        <v>2.833333333</v>
      </c>
      <c r="D17" s="47">
        <v>14.0</v>
      </c>
      <c r="E17" s="51" t="s">
        <v>101</v>
      </c>
      <c r="F17" s="47">
        <v>4.0</v>
      </c>
      <c r="G17" s="53">
        <v>3.0</v>
      </c>
      <c r="H17" s="54">
        <f t="shared" si="1"/>
        <v>12</v>
      </c>
    </row>
    <row r="18">
      <c r="D18" s="47">
        <v>15.0</v>
      </c>
      <c r="E18" s="51" t="s">
        <v>102</v>
      </c>
      <c r="F18" s="47">
        <v>4.0</v>
      </c>
      <c r="G18" s="47">
        <v>2.0</v>
      </c>
      <c r="H18" s="54">
        <f t="shared" si="1"/>
        <v>8</v>
      </c>
    </row>
    <row r="19">
      <c r="D19" s="47">
        <v>16.0</v>
      </c>
      <c r="E19" s="51" t="s">
        <v>103</v>
      </c>
      <c r="F19" s="47">
        <v>4.0</v>
      </c>
      <c r="G19" s="47">
        <v>3.5</v>
      </c>
      <c r="H19" s="54">
        <f t="shared" si="1"/>
        <v>14</v>
      </c>
    </row>
    <row r="20">
      <c r="D20" s="47">
        <v>17.0</v>
      </c>
      <c r="E20" s="51" t="s">
        <v>104</v>
      </c>
      <c r="F20" s="47"/>
      <c r="G20" s="47"/>
      <c r="H20" s="54">
        <f t="shared" si="1"/>
        <v>0</v>
      </c>
    </row>
    <row r="21">
      <c r="B21" s="47">
        <v>5.0</v>
      </c>
      <c r="C21" s="59">
        <f>sum(H21:H24)/sum(F21:F24)</f>
        <v>4</v>
      </c>
      <c r="D21" s="59"/>
      <c r="E21" s="51" t="s">
        <v>107</v>
      </c>
      <c r="F21" s="47">
        <v>4.0</v>
      </c>
      <c r="G21" s="60">
        <v>4.0</v>
      </c>
      <c r="H21" s="61">
        <f t="shared" si="1"/>
        <v>16</v>
      </c>
    </row>
    <row r="22">
      <c r="D22" s="59"/>
      <c r="E22" s="51" t="s">
        <v>109</v>
      </c>
      <c r="F22" s="47">
        <v>4.0</v>
      </c>
      <c r="G22" s="60">
        <v>4.0</v>
      </c>
      <c r="H22" s="61">
        <f t="shared" si="1"/>
        <v>16</v>
      </c>
    </row>
    <row r="23">
      <c r="D23" s="59"/>
      <c r="E23" s="51" t="s">
        <v>110</v>
      </c>
      <c r="F23" s="47">
        <v>2.0</v>
      </c>
      <c r="G23" s="60">
        <v>4.0</v>
      </c>
      <c r="H23" s="61">
        <f t="shared" si="1"/>
        <v>8</v>
      </c>
    </row>
    <row r="24">
      <c r="D24" s="59"/>
      <c r="E24" s="62" t="s">
        <v>111</v>
      </c>
      <c r="F24" s="47">
        <v>2.0</v>
      </c>
      <c r="G24" s="60">
        <v>4.0</v>
      </c>
      <c r="H24" s="61">
        <f t="shared" si="1"/>
        <v>8</v>
      </c>
    </row>
    <row r="25">
      <c r="B25" s="47">
        <v>6.0</v>
      </c>
      <c r="C25" s="59">
        <f>sum(H25:H28)/sum(F25:F28)</f>
        <v>4</v>
      </c>
      <c r="D25" s="59"/>
      <c r="E25" s="65" t="s">
        <v>112</v>
      </c>
      <c r="F25" s="59">
        <v>4.0</v>
      </c>
      <c r="G25" s="59">
        <v>4.0</v>
      </c>
      <c r="H25" s="61">
        <f t="shared" si="1"/>
        <v>16</v>
      </c>
    </row>
    <row r="26">
      <c r="D26" s="59"/>
      <c r="E26" s="65" t="s">
        <v>114</v>
      </c>
      <c r="F26" s="59">
        <v>4.0</v>
      </c>
      <c r="G26" s="59">
        <v>4.0</v>
      </c>
      <c r="H26" s="61">
        <f t="shared" si="1"/>
        <v>16</v>
      </c>
    </row>
    <row r="27">
      <c r="D27" s="59"/>
      <c r="E27" s="65" t="s">
        <v>111</v>
      </c>
      <c r="F27" s="59">
        <v>2.0</v>
      </c>
      <c r="G27" s="59">
        <v>4.0</v>
      </c>
      <c r="H27" s="61">
        <f t="shared" si="1"/>
        <v>8</v>
      </c>
    </row>
    <row r="28">
      <c r="D28" s="59"/>
      <c r="E28" s="65" t="s">
        <v>117</v>
      </c>
      <c r="F28" s="59">
        <v>2.0</v>
      </c>
      <c r="G28" s="59">
        <v>4.0</v>
      </c>
      <c r="H28" s="61">
        <f t="shared" si="1"/>
        <v>8</v>
      </c>
    </row>
    <row r="29">
      <c r="A29" s="68"/>
      <c r="B29" s="68">
        <v>7.0</v>
      </c>
      <c r="C29" s="68"/>
      <c r="D29" s="68"/>
      <c r="E29" s="70"/>
      <c r="F29" s="68">
        <v>4.0</v>
      </c>
      <c r="G29" s="68">
        <v>4.0</v>
      </c>
      <c r="H29" s="68">
        <f t="shared" si="1"/>
        <v>16</v>
      </c>
    </row>
    <row r="30">
      <c r="A30" s="68"/>
      <c r="D30" s="68"/>
      <c r="E30" s="70"/>
      <c r="F30" s="68">
        <v>4.0</v>
      </c>
      <c r="G30" s="68">
        <v>4.0</v>
      </c>
      <c r="H30" s="68">
        <f t="shared" si="1"/>
        <v>16</v>
      </c>
    </row>
    <row r="31">
      <c r="A31" s="68"/>
      <c r="D31" s="68"/>
      <c r="E31" s="70"/>
      <c r="F31" s="68">
        <v>4.0</v>
      </c>
      <c r="G31" s="68">
        <v>4.0</v>
      </c>
      <c r="H31" s="68">
        <f t="shared" si="1"/>
        <v>16</v>
      </c>
    </row>
    <row r="32">
      <c r="A32" s="68"/>
      <c r="D32" s="68"/>
      <c r="E32" s="70"/>
      <c r="F32" s="72"/>
      <c r="G32" s="68"/>
      <c r="H32" s="68">
        <f t="shared" si="1"/>
        <v>0</v>
      </c>
    </row>
    <row r="33">
      <c r="A33" s="68"/>
      <c r="B33" s="68">
        <v>8.0</v>
      </c>
      <c r="C33" s="68"/>
      <c r="D33" s="68"/>
      <c r="E33" s="70"/>
      <c r="F33" s="68">
        <v>4.0</v>
      </c>
      <c r="G33" s="68">
        <v>4.0</v>
      </c>
      <c r="H33" s="68">
        <f t="shared" si="1"/>
        <v>16</v>
      </c>
    </row>
    <row r="34">
      <c r="A34" s="68"/>
      <c r="D34" s="68"/>
      <c r="E34" s="70"/>
      <c r="F34" s="68">
        <v>4.0</v>
      </c>
      <c r="G34" s="68">
        <v>4.0</v>
      </c>
      <c r="H34" s="68">
        <f t="shared" si="1"/>
        <v>16</v>
      </c>
    </row>
    <row r="35">
      <c r="A35" s="68"/>
      <c r="D35" s="68"/>
      <c r="E35" s="70"/>
      <c r="F35" s="68">
        <v>4.0</v>
      </c>
      <c r="G35" s="68">
        <v>4.0</v>
      </c>
      <c r="H35" s="68">
        <f t="shared" si="1"/>
        <v>16</v>
      </c>
    </row>
    <row r="36">
      <c r="A36" s="68"/>
      <c r="D36" s="68"/>
      <c r="E36" s="74"/>
      <c r="F36" s="72"/>
      <c r="G36" s="72"/>
      <c r="H36" s="68">
        <f t="shared" si="1"/>
        <v>0</v>
      </c>
    </row>
    <row r="37">
      <c r="A37" s="68"/>
      <c r="B37" s="68">
        <v>9.0</v>
      </c>
      <c r="C37" s="68"/>
      <c r="D37" s="68"/>
      <c r="E37" s="74"/>
      <c r="F37" s="68">
        <v>4.0</v>
      </c>
      <c r="G37" s="68">
        <v>4.0</v>
      </c>
      <c r="H37" s="68">
        <f t="shared" si="1"/>
        <v>16</v>
      </c>
    </row>
    <row r="38">
      <c r="A38" s="68"/>
      <c r="D38" s="68"/>
      <c r="E38" s="74"/>
      <c r="F38" s="68">
        <v>4.0</v>
      </c>
      <c r="G38" s="68">
        <v>4.0</v>
      </c>
      <c r="H38" s="68">
        <f t="shared" si="1"/>
        <v>16</v>
      </c>
    </row>
    <row r="39">
      <c r="A39" s="68"/>
      <c r="D39" s="68"/>
      <c r="E39" s="74"/>
      <c r="F39" s="72"/>
      <c r="G39" s="72"/>
      <c r="H39" s="68">
        <f t="shared" si="1"/>
        <v>0</v>
      </c>
    </row>
    <row r="40">
      <c r="A40" s="68"/>
      <c r="D40" s="68"/>
      <c r="E40" s="74"/>
      <c r="F40" s="72"/>
      <c r="G40" s="72"/>
      <c r="H40" s="68">
        <f t="shared" si="1"/>
        <v>0</v>
      </c>
    </row>
    <row r="41">
      <c r="A41" s="68"/>
      <c r="B41" s="68"/>
      <c r="C41" s="68"/>
      <c r="D41" s="68"/>
      <c r="E41" s="79" t="s">
        <v>127</v>
      </c>
      <c r="F41" s="68">
        <v>10.0</v>
      </c>
      <c r="G41" s="68">
        <v>4.0</v>
      </c>
      <c r="H41" s="68">
        <f t="shared" si="1"/>
        <v>40</v>
      </c>
    </row>
  </sheetData>
  <mergeCells count="21">
    <mergeCell ref="A4:A16"/>
    <mergeCell ref="A17:A28"/>
    <mergeCell ref="A1:E1"/>
    <mergeCell ref="B4:B7"/>
    <mergeCell ref="C4:C7"/>
    <mergeCell ref="B8:B11"/>
    <mergeCell ref="C8:C11"/>
    <mergeCell ref="B12:B16"/>
    <mergeCell ref="C12:C16"/>
    <mergeCell ref="B29:B32"/>
    <mergeCell ref="B33:B36"/>
    <mergeCell ref="B37:B40"/>
    <mergeCell ref="C33:C36"/>
    <mergeCell ref="C37:C40"/>
    <mergeCell ref="B17:B20"/>
    <mergeCell ref="C17:C20"/>
    <mergeCell ref="B21:B24"/>
    <mergeCell ref="C21:C24"/>
    <mergeCell ref="B25:B28"/>
    <mergeCell ref="C25:C28"/>
    <mergeCell ref="C29:C32"/>
  </mergeCells>
  <hyperlinks>
    <hyperlink r:id="rId1" ref="F3"/>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25.5"/>
  </cols>
  <sheetData>
    <row r="1">
      <c r="A1" s="1" t="s">
        <v>0</v>
      </c>
      <c r="B1" s="1" t="s">
        <v>2</v>
      </c>
      <c r="C1" s="1" t="s">
        <v>3</v>
      </c>
      <c r="D1" s="1" t="s">
        <v>4</v>
      </c>
      <c r="E1" s="1" t="s">
        <v>6</v>
      </c>
      <c r="F1" s="1" t="s">
        <v>7</v>
      </c>
      <c r="G1" s="1" t="s">
        <v>8</v>
      </c>
      <c r="H1" s="1" t="s">
        <v>9</v>
      </c>
      <c r="I1" s="1" t="s">
        <v>10</v>
      </c>
      <c r="J1" s="1" t="s">
        <v>11</v>
      </c>
      <c r="K1" s="1" t="s">
        <v>13</v>
      </c>
    </row>
    <row r="2">
      <c r="A2" s="5" t="s">
        <v>14</v>
      </c>
      <c r="B2" s="5" t="s">
        <v>15</v>
      </c>
      <c r="C2" s="5" t="s">
        <v>16</v>
      </c>
      <c r="D2" s="6"/>
      <c r="E2" s="6"/>
      <c r="F2" s="14" t="s">
        <v>19</v>
      </c>
      <c r="G2" s="18" t="s">
        <v>21</v>
      </c>
      <c r="H2" s="6"/>
      <c r="I2" s="6" t="s">
        <v>23</v>
      </c>
      <c r="J2" s="6"/>
      <c r="K2" s="18" t="s">
        <v>21</v>
      </c>
    </row>
    <row r="3">
      <c r="A3" s="5" t="s">
        <v>26</v>
      </c>
      <c r="B3" s="5" t="s">
        <v>27</v>
      </c>
      <c r="C3" s="21" t="s">
        <v>28</v>
      </c>
      <c r="D3" s="18" t="s">
        <v>29</v>
      </c>
      <c r="E3" s="18" t="s">
        <v>30</v>
      </c>
      <c r="F3" s="14" t="s">
        <v>31</v>
      </c>
      <c r="G3" s="18" t="s">
        <v>21</v>
      </c>
      <c r="H3" s="6"/>
      <c r="I3" s="6" t="s">
        <v>35</v>
      </c>
      <c r="J3" s="6" t="s">
        <v>37</v>
      </c>
      <c r="K3" s="18" t="s">
        <v>21</v>
      </c>
    </row>
    <row r="4">
      <c r="A4" s="25" t="s">
        <v>39</v>
      </c>
      <c r="B4" s="5" t="s">
        <v>40</v>
      </c>
      <c r="C4" s="5" t="s">
        <v>41</v>
      </c>
      <c r="D4" s="5" t="s">
        <v>42</v>
      </c>
      <c r="E4" s="5" t="s">
        <v>43</v>
      </c>
      <c r="F4" s="27" t="s">
        <v>44</v>
      </c>
      <c r="G4" s="18" t="s">
        <v>21</v>
      </c>
      <c r="H4" s="18" t="s">
        <v>45</v>
      </c>
      <c r="I4" s="6"/>
      <c r="J4" s="6"/>
      <c r="K4" s="18" t="s">
        <v>47</v>
      </c>
    </row>
    <row r="5">
      <c r="A5" s="30"/>
      <c r="B5" s="5" t="s">
        <v>49</v>
      </c>
      <c r="C5" s="5" t="s">
        <v>50</v>
      </c>
      <c r="D5" s="5" t="s">
        <v>42</v>
      </c>
      <c r="E5" s="5" t="s">
        <v>51</v>
      </c>
      <c r="F5" s="35" t="s">
        <v>52</v>
      </c>
      <c r="G5" s="18" t="s">
        <v>21</v>
      </c>
      <c r="H5" s="18" t="s">
        <v>53</v>
      </c>
      <c r="I5" s="6"/>
      <c r="J5" s="6"/>
      <c r="K5" s="18" t="s">
        <v>47</v>
      </c>
    </row>
    <row r="6">
      <c r="A6" s="37"/>
      <c r="B6" s="5" t="s">
        <v>54</v>
      </c>
      <c r="C6" s="38"/>
      <c r="D6" s="6"/>
      <c r="E6" s="6"/>
      <c r="F6" s="18" t="s">
        <v>55</v>
      </c>
      <c r="G6" s="18" t="s">
        <v>47</v>
      </c>
      <c r="H6" s="18" t="s">
        <v>57</v>
      </c>
      <c r="I6" s="6"/>
      <c r="J6" s="6"/>
      <c r="K6" s="18" t="s">
        <v>47</v>
      </c>
    </row>
    <row r="7">
      <c r="A7" s="5" t="s">
        <v>58</v>
      </c>
      <c r="B7" s="5" t="s">
        <v>59</v>
      </c>
      <c r="C7" s="38"/>
      <c r="D7" s="18" t="s">
        <v>60</v>
      </c>
      <c r="E7" s="18" t="s">
        <v>61</v>
      </c>
      <c r="F7" s="6"/>
      <c r="G7" s="18" t="s">
        <v>47</v>
      </c>
      <c r="H7" s="6"/>
      <c r="I7" s="6"/>
      <c r="J7" s="6"/>
      <c r="K7" s="18" t="s">
        <v>47</v>
      </c>
    </row>
    <row r="8">
      <c r="A8" s="5" t="s">
        <v>62</v>
      </c>
      <c r="B8" s="5" t="s">
        <v>63</v>
      </c>
      <c r="C8" s="5" t="s">
        <v>64</v>
      </c>
      <c r="D8" s="18" t="s">
        <v>60</v>
      </c>
      <c r="E8" s="18" t="s">
        <v>65</v>
      </c>
      <c r="F8" s="43" t="s">
        <v>67</v>
      </c>
      <c r="G8" s="18" t="s">
        <v>21</v>
      </c>
      <c r="H8" s="6"/>
      <c r="I8" s="6"/>
      <c r="J8" s="6"/>
      <c r="K8" s="18" t="s">
        <v>47</v>
      </c>
    </row>
    <row r="9">
      <c r="A9" s="5" t="s">
        <v>72</v>
      </c>
      <c r="B9" s="5" t="s">
        <v>73</v>
      </c>
      <c r="C9" s="38"/>
      <c r="D9" s="18" t="s">
        <v>42</v>
      </c>
      <c r="E9" s="18" t="s">
        <v>74</v>
      </c>
      <c r="F9" s="6"/>
      <c r="G9" s="18" t="s">
        <v>21</v>
      </c>
      <c r="H9" s="18" t="s">
        <v>75</v>
      </c>
      <c r="I9" s="6"/>
      <c r="J9" s="6"/>
      <c r="K9" s="18" t="s">
        <v>47</v>
      </c>
    </row>
    <row r="10">
      <c r="A10" s="25" t="s">
        <v>77</v>
      </c>
      <c r="B10" s="5" t="s">
        <v>79</v>
      </c>
      <c r="C10" s="5" t="s">
        <v>80</v>
      </c>
      <c r="D10" s="6"/>
      <c r="E10" s="6"/>
      <c r="F10" s="6"/>
      <c r="G10" s="18" t="s">
        <v>81</v>
      </c>
      <c r="H10" s="6"/>
      <c r="I10" s="6"/>
      <c r="J10" s="6"/>
      <c r="K10" s="6"/>
    </row>
    <row r="11">
      <c r="A11" s="37"/>
      <c r="B11" s="5" t="s">
        <v>83</v>
      </c>
      <c r="C11" s="5" t="s">
        <v>84</v>
      </c>
      <c r="D11" s="18" t="s">
        <v>60</v>
      </c>
      <c r="E11" s="18" t="s">
        <v>85</v>
      </c>
      <c r="F11" s="43" t="s">
        <v>86</v>
      </c>
      <c r="G11" s="18" t="s">
        <v>81</v>
      </c>
      <c r="H11" s="6"/>
      <c r="I11" s="6"/>
      <c r="J11" s="6"/>
      <c r="K11" s="6"/>
    </row>
    <row r="12">
      <c r="A12" s="5" t="s">
        <v>89</v>
      </c>
      <c r="B12" s="5" t="s">
        <v>91</v>
      </c>
      <c r="C12" s="38"/>
      <c r="D12" s="6"/>
      <c r="E12" s="18" t="s">
        <v>92</v>
      </c>
      <c r="F12" s="43" t="s">
        <v>93</v>
      </c>
      <c r="G12" s="18" t="s">
        <v>81</v>
      </c>
      <c r="H12" s="6"/>
      <c r="I12" s="6"/>
      <c r="J12" s="6"/>
      <c r="K12" s="6"/>
    </row>
    <row r="13">
      <c r="A13" s="5" t="s">
        <v>97</v>
      </c>
      <c r="B13" s="5" t="s">
        <v>98</v>
      </c>
      <c r="C13" s="38"/>
      <c r="D13" s="6"/>
      <c r="E13" s="6"/>
      <c r="F13" s="43" t="s">
        <v>99</v>
      </c>
      <c r="G13" s="18" t="s">
        <v>81</v>
      </c>
      <c r="H13" s="6"/>
      <c r="I13" s="6"/>
      <c r="J13" s="6"/>
      <c r="K13" s="6"/>
    </row>
    <row r="14">
      <c r="A14" s="5" t="s">
        <v>100</v>
      </c>
      <c r="B14" s="38"/>
      <c r="C14" s="38"/>
      <c r="D14" s="6"/>
      <c r="E14" s="6"/>
      <c r="F14" s="6"/>
      <c r="G14" s="18" t="s">
        <v>81</v>
      </c>
      <c r="H14" s="6"/>
      <c r="I14" s="6"/>
      <c r="J14" s="6"/>
      <c r="K14" s="6"/>
    </row>
  </sheetData>
  <mergeCells count="2">
    <mergeCell ref="A4:A6"/>
    <mergeCell ref="A10:A11"/>
  </mergeCells>
  <dataValidations>
    <dataValidation type="list" allowBlank="1" showErrorMessage="1" sqref="G2:G14 K2:K14">
      <formula1>"New,In progress,Done"</formula1>
    </dataValidation>
  </dataValidations>
  <hyperlinks>
    <hyperlink r:id="rId1" ref="F2"/>
    <hyperlink r:id="rId2" ref="F3"/>
    <hyperlink r:id="rId3" ref="F4"/>
    <hyperlink r:id="rId4" ref="F5"/>
    <hyperlink r:id="rId5" ref="F8"/>
    <hyperlink r:id="rId6" ref="F11"/>
    <hyperlink r:id="rId7" ref="F12"/>
    <hyperlink r:id="rId8" ref="F13"/>
  </hyperlinks>
  <drawing r:id="rId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25"/>
    <col customWidth="1" min="2" max="2" width="19.88"/>
    <col customWidth="1" min="3" max="3" width="22.63"/>
    <col customWidth="1" min="4" max="4" width="14.25"/>
    <col customWidth="1" min="5" max="6" width="11.13"/>
    <col customWidth="1" min="7" max="7" width="13.5"/>
    <col customWidth="1" min="8" max="8" width="11.13"/>
    <col customWidth="1" min="9" max="9" width="20.63"/>
    <col customWidth="1" min="10" max="10" width="11.88"/>
    <col customWidth="1" min="11" max="11" width="26.38"/>
  </cols>
  <sheetData>
    <row r="1">
      <c r="A1" s="85" t="s">
        <v>131</v>
      </c>
      <c r="B1" s="85" t="s">
        <v>132</v>
      </c>
      <c r="C1" s="85" t="s">
        <v>134</v>
      </c>
      <c r="D1" s="85" t="s">
        <v>135</v>
      </c>
      <c r="E1" s="87" t="s">
        <v>137</v>
      </c>
      <c r="H1" s="89"/>
      <c r="I1" s="90" t="s">
        <v>8</v>
      </c>
      <c r="J1" s="90" t="s">
        <v>138</v>
      </c>
      <c r="K1" s="90" t="s">
        <v>140</v>
      </c>
    </row>
    <row r="2" ht="16.5" customHeight="1">
      <c r="A2" s="93"/>
      <c r="B2" s="93"/>
      <c r="C2" s="93"/>
      <c r="D2" s="93"/>
      <c r="E2" s="93" t="s">
        <v>142</v>
      </c>
      <c r="F2" s="93" t="s">
        <v>143</v>
      </c>
      <c r="G2" s="93" t="s">
        <v>144</v>
      </c>
      <c r="H2" s="93" t="s">
        <v>145</v>
      </c>
      <c r="I2" s="94"/>
      <c r="J2" s="94"/>
      <c r="K2" s="94"/>
    </row>
    <row r="3">
      <c r="A3" s="95">
        <v>1.0</v>
      </c>
      <c r="B3" s="96" t="s">
        <v>147</v>
      </c>
      <c r="C3" s="96" t="s">
        <v>149</v>
      </c>
      <c r="D3" s="96" t="s">
        <v>150</v>
      </c>
      <c r="E3" s="96" t="s">
        <v>152</v>
      </c>
      <c r="F3" s="95"/>
      <c r="G3" s="95"/>
      <c r="H3" s="96" t="b">
        <v>1</v>
      </c>
      <c r="I3" s="100" t="s">
        <v>154</v>
      </c>
      <c r="J3" s="100"/>
      <c r="K3" s="101"/>
    </row>
    <row r="4">
      <c r="A4" s="95">
        <v>1.0</v>
      </c>
      <c r="B4" s="96" t="s">
        <v>155</v>
      </c>
      <c r="C4" s="96" t="s">
        <v>156</v>
      </c>
      <c r="D4" s="96" t="s">
        <v>157</v>
      </c>
      <c r="E4" s="96" t="s">
        <v>152</v>
      </c>
      <c r="F4" s="95"/>
      <c r="G4" s="95"/>
      <c r="H4" s="96" t="b">
        <v>1</v>
      </c>
      <c r="I4" s="100" t="s">
        <v>154</v>
      </c>
      <c r="J4" s="100"/>
      <c r="K4" s="107" t="s">
        <v>158</v>
      </c>
    </row>
    <row r="5">
      <c r="A5" s="95">
        <v>1.0</v>
      </c>
      <c r="B5" s="96" t="s">
        <v>165</v>
      </c>
      <c r="C5" s="96" t="s">
        <v>166</v>
      </c>
      <c r="D5" s="96" t="s">
        <v>157</v>
      </c>
      <c r="E5" s="96" t="s">
        <v>167</v>
      </c>
      <c r="F5" s="95">
        <v>1.0</v>
      </c>
      <c r="G5" s="109"/>
      <c r="H5" s="96" t="b">
        <v>1</v>
      </c>
      <c r="I5" s="100" t="s">
        <v>154</v>
      </c>
      <c r="J5" s="100"/>
    </row>
    <row r="6">
      <c r="A6" s="95">
        <v>1.0</v>
      </c>
      <c r="B6" s="96" t="s">
        <v>168</v>
      </c>
      <c r="C6" s="110" t="s">
        <v>169</v>
      </c>
      <c r="D6" s="110" t="s">
        <v>157</v>
      </c>
      <c r="E6" s="110" t="s">
        <v>167</v>
      </c>
      <c r="F6" s="100">
        <v>1.0</v>
      </c>
      <c r="G6" s="100" t="s">
        <v>170</v>
      </c>
      <c r="H6" s="111" t="b">
        <v>0</v>
      </c>
      <c r="I6" s="100" t="s">
        <v>171</v>
      </c>
      <c r="J6" s="100"/>
    </row>
    <row r="7">
      <c r="A7" s="95">
        <v>1.0</v>
      </c>
      <c r="B7" s="96" t="s">
        <v>168</v>
      </c>
      <c r="C7" s="110" t="s">
        <v>172</v>
      </c>
      <c r="D7" s="110" t="s">
        <v>157</v>
      </c>
      <c r="E7" s="110" t="s">
        <v>167</v>
      </c>
      <c r="F7" s="100"/>
      <c r="G7" s="100" t="s">
        <v>173</v>
      </c>
      <c r="H7" s="110" t="b">
        <v>1</v>
      </c>
      <c r="I7" s="100" t="s">
        <v>21</v>
      </c>
      <c r="J7" s="100" t="s">
        <v>174</v>
      </c>
      <c r="K7" s="107" t="s">
        <v>175</v>
      </c>
    </row>
  </sheetData>
  <mergeCells count="1">
    <mergeCell ref="E1:H1"/>
  </mergeCells>
  <conditionalFormatting sqref="F3:G7">
    <cfRule type="containsBlanks" dxfId="5" priority="1">
      <formula>LEN(TRIM(F3))=0</formula>
    </cfRule>
  </conditionalFormatting>
  <dataValidations>
    <dataValidation type="list" allowBlank="1" showErrorMessage="1" sqref="I3:I7">
      <formula1>"Rejected,Not started,Waiting for approval,On-going,Submitted ,Done,Reviewed,Graded"</formula1>
    </dataValidation>
    <dataValidation type="list" allowBlank="1" showErrorMessage="1" sqref="E3:E7">
      <formula1>"&lt;10%,10%&lt;x&lt;50%,&gt;50%,None"</formula1>
    </dataValidation>
    <dataValidation type="list" allowBlank="1" showErrorMessage="1" sqref="D3:D7">
      <formula1>"Team Member,Leader"</formula1>
    </dataValidation>
    <dataValidation type="list" allowBlank="1" showErrorMessage="1" sqref="A3:A7">
      <formula1>"1,2,3,4"</formula1>
    </dataValidation>
    <dataValidation type="list" allowBlank="1" showErrorMessage="1" sqref="B3:B7">
      <formula1>"Pre mid-term,Mid-term ,Final,Contests,Jobs"</formula1>
    </dataValidation>
  </dataValidations>
  <hyperlinks>
    <hyperlink r:id="rId1" location="gid=0" ref="K4"/>
    <hyperlink r:id="rId2" location="gid=0" ref="K7"/>
  </hyperlinks>
  <drawing r:id="rId3"/>
</worksheet>
</file>